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codeName="ThisWorkbook" hidePivotFieldList="1"/>
  <mc:AlternateContent xmlns:mc="http://schemas.openxmlformats.org/markup-compatibility/2006">
    <mc:Choice Requires="x15">
      <x15ac:absPath xmlns:x15ac="http://schemas.microsoft.com/office/spreadsheetml/2010/11/ac" url="D:\Forage\CBA - Data Analytics\"/>
    </mc:Choice>
  </mc:AlternateContent>
  <xr:revisionPtr revIDLastSave="0" documentId="13_ncr:1_{BB73051E-C92C-491C-9CD2-F6377788CA51}" xr6:coauthVersionLast="47" xr6:coauthVersionMax="47" xr10:uidLastSave="{00000000-0000-0000-0000-000000000000}"/>
  <bookViews>
    <workbookView xWindow="-120" yWindow="-120" windowWidth="20730" windowHeight="11760" firstSheet="1" activeTab="2" xr2:uid="{00000000-000D-0000-FFFF-FFFF00000000}"/>
  </bookViews>
  <sheets>
    <sheet name="README" sheetId="1" r:id="rId1"/>
    <sheet name="Social_Media_Posts" sheetId="2" r:id="rId2"/>
    <sheet name="Data_Dictionary" sheetId="3" r:id="rId3"/>
    <sheet name="Analysis_Prompts" sheetId="4" r:id="rId4"/>
    <sheet name="Resources" sheetId="5" r:id="rId5"/>
    <sheet name="Analyst" sheetId="7" r:id="rId6"/>
    <sheet name="Chart" sheetId="8" r:id="rId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Y2" i="2" l="1"/>
  <c r="Y3" i="2"/>
  <c r="Y4" i="2"/>
  <c r="Y5" i="2"/>
  <c r="Y6" i="2"/>
  <c r="Y7" i="2"/>
  <c r="Y8" i="2"/>
  <c r="Y9" i="2"/>
  <c r="Y10" i="2"/>
  <c r="Y11" i="2"/>
  <c r="Y12" i="2"/>
  <c r="Y13" i="2"/>
  <c r="Y14" i="2"/>
  <c r="Y15" i="2"/>
  <c r="Y16" i="2"/>
  <c r="Y17" i="2"/>
  <c r="Y18" i="2"/>
  <c r="Y19" i="2"/>
  <c r="Y20" i="2"/>
  <c r="Y21" i="2"/>
  <c r="Y22" i="2"/>
  <c r="Y23" i="2"/>
  <c r="Y24" i="2"/>
  <c r="Y25" i="2"/>
  <c r="Y26" i="2"/>
  <c r="Y27" i="2"/>
  <c r="Y28" i="2"/>
  <c r="Y29" i="2"/>
  <c r="Y30" i="2"/>
  <c r="Y31" i="2"/>
  <c r="Y32" i="2"/>
  <c r="Y33" i="2"/>
  <c r="Y34" i="2"/>
  <c r="Y35" i="2"/>
  <c r="Y36" i="2"/>
  <c r="Y37" i="2"/>
  <c r="Y38" i="2"/>
  <c r="Y39" i="2"/>
  <c r="Y40" i="2"/>
  <c r="Y41" i="2"/>
  <c r="Y42" i="2"/>
  <c r="Y43" i="2"/>
  <c r="Y44" i="2"/>
  <c r="Y45" i="2"/>
  <c r="Y46" i="2"/>
  <c r="Y47" i="2"/>
  <c r="Y48" i="2"/>
  <c r="Y49" i="2"/>
  <c r="Y50" i="2"/>
  <c r="Y51" i="2"/>
  <c r="Y52" i="2"/>
  <c r="Y53" i="2"/>
  <c r="Y54" i="2"/>
  <c r="Y55" i="2"/>
  <c r="Y56" i="2"/>
  <c r="Y57" i="2"/>
  <c r="Y58" i="2"/>
  <c r="Y59" i="2"/>
  <c r="Y60" i="2"/>
  <c r="Y61" i="2"/>
  <c r="B86" i="7"/>
  <c r="F5" i="7"/>
  <c r="F7" i="7"/>
  <c r="F14" i="7"/>
  <c r="F10" i="7"/>
  <c r="F12" i="7"/>
  <c r="F6" i="7"/>
  <c r="F9" i="7"/>
  <c r="F13" i="7"/>
  <c r="F8" i="7"/>
  <c r="F11" i="7"/>
  <c r="F4" i="7"/>
  <c r="D5" i="7"/>
  <c r="D7" i="7"/>
  <c r="D14" i="7"/>
  <c r="D10" i="7"/>
  <c r="D12" i="7"/>
  <c r="D6" i="7"/>
  <c r="D9" i="7"/>
  <c r="D13" i="7"/>
  <c r="D8" i="7"/>
  <c r="D11" i="7"/>
  <c r="D4" i="7"/>
  <c r="C7" i="7"/>
  <c r="C14" i="7"/>
  <c r="C10" i="7"/>
  <c r="C12" i="7"/>
  <c r="C6" i="7"/>
  <c r="C9" i="7"/>
  <c r="C13" i="7"/>
  <c r="C8" i="7"/>
  <c r="C11" i="7"/>
  <c r="C4" i="7"/>
  <c r="B5" i="7"/>
  <c r="B7" i="7"/>
  <c r="B14" i="7"/>
  <c r="B10" i="7"/>
  <c r="B12" i="7"/>
  <c r="B6" i="7"/>
  <c r="B9" i="7"/>
  <c r="B13" i="7"/>
  <c r="B8" i="7"/>
  <c r="B11" i="7"/>
  <c r="B4" i="7"/>
  <c r="D72" i="7"/>
  <c r="D73" i="7"/>
  <c r="D74" i="7"/>
  <c r="D71" i="7"/>
  <c r="C72" i="7"/>
  <c r="E72" i="7" s="1"/>
  <c r="C73" i="7"/>
  <c r="E73" i="7" s="1"/>
  <c r="C74" i="7"/>
  <c r="E74" i="7" s="1"/>
  <c r="C71" i="7"/>
  <c r="E71" i="7" s="1"/>
  <c r="B72" i="7"/>
  <c r="B73" i="7"/>
  <c r="B74" i="7"/>
  <c r="B71" i="7"/>
  <c r="B75" i="7" s="1"/>
  <c r="S2" i="2"/>
  <c r="U61" i="2"/>
  <c r="S61" i="2"/>
  <c r="T61" i="2" s="1"/>
  <c r="U60" i="2"/>
  <c r="S60" i="2"/>
  <c r="T60" i="2" s="1"/>
  <c r="U59" i="2"/>
  <c r="S59" i="2"/>
  <c r="T59" i="2" s="1"/>
  <c r="U58" i="2"/>
  <c r="S58" i="2"/>
  <c r="T58" i="2" s="1"/>
  <c r="U57" i="2"/>
  <c r="S57" i="2"/>
  <c r="T57" i="2" s="1"/>
  <c r="U56" i="2"/>
  <c r="S56" i="2"/>
  <c r="T56" i="2" s="1"/>
  <c r="U55" i="2"/>
  <c r="S55" i="2"/>
  <c r="T55" i="2" s="1"/>
  <c r="U54" i="2"/>
  <c r="S54" i="2"/>
  <c r="T54" i="2" s="1"/>
  <c r="U53" i="2"/>
  <c r="S53" i="2"/>
  <c r="T53" i="2" s="1"/>
  <c r="U52" i="2"/>
  <c r="S52" i="2"/>
  <c r="T52" i="2" s="1"/>
  <c r="U51" i="2"/>
  <c r="S51" i="2"/>
  <c r="T51" i="2" s="1"/>
  <c r="U50" i="2"/>
  <c r="S50" i="2"/>
  <c r="T50" i="2" s="1"/>
  <c r="U49" i="2"/>
  <c r="S49" i="2"/>
  <c r="T49" i="2" s="1"/>
  <c r="U48" i="2"/>
  <c r="S48" i="2"/>
  <c r="T48" i="2" s="1"/>
  <c r="U47" i="2"/>
  <c r="S47" i="2"/>
  <c r="T47" i="2" s="1"/>
  <c r="U46" i="2"/>
  <c r="S46" i="2"/>
  <c r="T46" i="2" s="1"/>
  <c r="U45" i="2"/>
  <c r="S45" i="2"/>
  <c r="T45" i="2" s="1"/>
  <c r="U44" i="2"/>
  <c r="S44" i="2"/>
  <c r="T44" i="2" s="1"/>
  <c r="U43" i="2"/>
  <c r="S43" i="2"/>
  <c r="T43" i="2" s="1"/>
  <c r="U42" i="2"/>
  <c r="S42" i="2"/>
  <c r="T42" i="2" s="1"/>
  <c r="U41" i="2"/>
  <c r="S41" i="2"/>
  <c r="T41" i="2" s="1"/>
  <c r="U40" i="2"/>
  <c r="S40" i="2"/>
  <c r="T40" i="2" s="1"/>
  <c r="U39" i="2"/>
  <c r="S39" i="2"/>
  <c r="T39" i="2" s="1"/>
  <c r="U38" i="2"/>
  <c r="S38" i="2"/>
  <c r="T38" i="2" s="1"/>
  <c r="U37" i="2"/>
  <c r="S37" i="2"/>
  <c r="T37" i="2" s="1"/>
  <c r="U36" i="2"/>
  <c r="S36" i="2"/>
  <c r="T36" i="2" s="1"/>
  <c r="U35" i="2"/>
  <c r="S35" i="2"/>
  <c r="T35" i="2" s="1"/>
  <c r="U34" i="2"/>
  <c r="S34" i="2"/>
  <c r="T34" i="2" s="1"/>
  <c r="U33" i="2"/>
  <c r="S33" i="2"/>
  <c r="T33" i="2" s="1"/>
  <c r="U32" i="2"/>
  <c r="S32" i="2"/>
  <c r="T32" i="2" s="1"/>
  <c r="U31" i="2"/>
  <c r="S31" i="2"/>
  <c r="T31" i="2" s="1"/>
  <c r="U30" i="2"/>
  <c r="S30" i="2"/>
  <c r="T30" i="2" s="1"/>
  <c r="U29" i="2"/>
  <c r="S29" i="2"/>
  <c r="T29" i="2" s="1"/>
  <c r="U28" i="2"/>
  <c r="S28" i="2"/>
  <c r="T28" i="2" s="1"/>
  <c r="U27" i="2"/>
  <c r="S27" i="2"/>
  <c r="T27" i="2" s="1"/>
  <c r="U26" i="2"/>
  <c r="S26" i="2"/>
  <c r="T26" i="2" s="1"/>
  <c r="U25" i="2"/>
  <c r="S25" i="2"/>
  <c r="T25" i="2" s="1"/>
  <c r="U24" i="2"/>
  <c r="S24" i="2"/>
  <c r="T24" i="2" s="1"/>
  <c r="U23" i="2"/>
  <c r="S23" i="2"/>
  <c r="T23" i="2" s="1"/>
  <c r="U22" i="2"/>
  <c r="S22" i="2"/>
  <c r="U21" i="2"/>
  <c r="S21" i="2"/>
  <c r="U20" i="2"/>
  <c r="S20" i="2"/>
  <c r="U19" i="2"/>
  <c r="S19" i="2"/>
  <c r="U18" i="2"/>
  <c r="S18" i="2"/>
  <c r="U17" i="2"/>
  <c r="S17" i="2"/>
  <c r="U16" i="2"/>
  <c r="S16" i="2"/>
  <c r="U15" i="2"/>
  <c r="S15" i="2"/>
  <c r="U14" i="2"/>
  <c r="S14" i="2"/>
  <c r="U13" i="2"/>
  <c r="S13" i="2"/>
  <c r="U12" i="2"/>
  <c r="S12" i="2"/>
  <c r="U11" i="2"/>
  <c r="S11" i="2"/>
  <c r="U10" i="2"/>
  <c r="S10" i="2"/>
  <c r="U9" i="2"/>
  <c r="S9" i="2"/>
  <c r="U8" i="2"/>
  <c r="S8" i="2"/>
  <c r="U7" i="2"/>
  <c r="S7" i="2"/>
  <c r="U6" i="2"/>
  <c r="S6" i="2"/>
  <c r="U5" i="2"/>
  <c r="S5" i="2"/>
  <c r="U4" i="2"/>
  <c r="S4" i="2"/>
  <c r="U3" i="2"/>
  <c r="S3" i="2"/>
  <c r="U2" i="2"/>
  <c r="T2" i="2"/>
  <c r="T22" i="2" l="1"/>
  <c r="T21" i="2"/>
  <c r="T20" i="2"/>
  <c r="T19" i="2"/>
  <c r="B83" i="7"/>
  <c r="T18" i="2"/>
  <c r="T17" i="2"/>
  <c r="T16" i="2"/>
  <c r="B84" i="7"/>
  <c r="T15" i="2"/>
  <c r="T14" i="2"/>
  <c r="B81" i="7"/>
  <c r="T13" i="2"/>
  <c r="T12" i="2"/>
  <c r="T11" i="2"/>
  <c r="B87" i="7"/>
  <c r="T10" i="2"/>
  <c r="B85" i="7"/>
  <c r="T9" i="2"/>
  <c r="T8" i="2"/>
  <c r="B89" i="7"/>
  <c r="T7" i="2"/>
  <c r="B82" i="7"/>
  <c r="T6" i="2"/>
  <c r="T4" i="2"/>
  <c r="T3" i="2"/>
  <c r="C51" i="7"/>
  <c r="C54" i="7"/>
  <c r="B50" i="7"/>
  <c r="B52" i="7"/>
  <c r="B55" i="7"/>
  <c r="D50" i="7"/>
  <c r="D51" i="7"/>
  <c r="D52" i="7"/>
  <c r="D53" i="7"/>
  <c r="D54" i="7"/>
  <c r="D55" i="7"/>
  <c r="D49" i="7"/>
  <c r="C50" i="7"/>
  <c r="C52" i="7"/>
  <c r="C53" i="7"/>
  <c r="C55" i="7"/>
  <c r="C49" i="7"/>
  <c r="B51" i="7"/>
  <c r="B53" i="7"/>
  <c r="B54" i="7"/>
  <c r="B49" i="7"/>
  <c r="T5" i="2"/>
  <c r="C5" i="7"/>
  <c r="D75" i="7"/>
  <c r="C80" i="7"/>
  <c r="C84" i="7"/>
  <c r="C86" i="7"/>
  <c r="D86" i="7" s="1"/>
  <c r="C89" i="7"/>
  <c r="C81" i="7"/>
  <c r="C83" i="7"/>
  <c r="C88" i="7"/>
  <c r="C82" i="7"/>
  <c r="C85" i="7"/>
  <c r="C87" i="7"/>
  <c r="C79" i="7"/>
  <c r="C75" i="7"/>
  <c r="E75" i="7" s="1"/>
  <c r="E61" i="7"/>
  <c r="E64" i="7"/>
  <c r="D61" i="7"/>
  <c r="D64" i="7"/>
  <c r="C61" i="7"/>
  <c r="C64" i="7"/>
  <c r="C60" i="7"/>
  <c r="B61" i="7"/>
  <c r="B64" i="7"/>
  <c r="B60" i="7"/>
  <c r="E62" i="7"/>
  <c r="E66" i="7"/>
  <c r="D63" i="7"/>
  <c r="D66" i="7"/>
  <c r="C62" i="7"/>
  <c r="C66" i="7"/>
  <c r="D60" i="7"/>
  <c r="B63" i="7"/>
  <c r="B66" i="7"/>
  <c r="E63" i="7"/>
  <c r="E65" i="7"/>
  <c r="D62" i="7"/>
  <c r="D65" i="7"/>
  <c r="C63" i="7"/>
  <c r="C65" i="7"/>
  <c r="E60" i="7"/>
  <c r="B62" i="7"/>
  <c r="B65" i="7"/>
  <c r="B40" i="7"/>
  <c r="C36" i="7"/>
  <c r="C38" i="7"/>
  <c r="C40" i="7"/>
  <c r="C42" i="7"/>
  <c r="B35" i="7"/>
  <c r="B37" i="7"/>
  <c r="B34" i="7"/>
  <c r="C34" i="7"/>
  <c r="B42" i="7"/>
  <c r="B44" i="7"/>
  <c r="C41" i="7"/>
  <c r="C35" i="7"/>
  <c r="C37" i="7"/>
  <c r="C39" i="7"/>
  <c r="C43" i="7"/>
  <c r="C44" i="7"/>
  <c r="B36" i="7"/>
  <c r="B38" i="7"/>
  <c r="B39" i="7"/>
  <c r="B41" i="7"/>
  <c r="B43" i="7"/>
  <c r="C20" i="7"/>
  <c r="D23" i="7"/>
  <c r="D24" i="7"/>
  <c r="D25" i="7"/>
  <c r="D26" i="7"/>
  <c r="D27" i="7"/>
  <c r="D28" i="7"/>
  <c r="D29" i="7"/>
  <c r="E19" i="7"/>
  <c r="D19" i="7"/>
  <c r="C19" i="7"/>
  <c r="E28" i="7"/>
  <c r="C21" i="7"/>
  <c r="C22" i="7"/>
  <c r="C23" i="7"/>
  <c r="C24" i="7"/>
  <c r="C25" i="7"/>
  <c r="C26" i="7"/>
  <c r="C27" i="7"/>
  <c r="C28" i="7"/>
  <c r="C29" i="7"/>
  <c r="B20" i="7"/>
  <c r="B21" i="7"/>
  <c r="B22" i="7"/>
  <c r="B23" i="7"/>
  <c r="B24" i="7"/>
  <c r="B25" i="7"/>
  <c r="E21" i="7"/>
  <c r="B27" i="7"/>
  <c r="B28" i="7"/>
  <c r="B29" i="7"/>
  <c r="B19" i="7"/>
  <c r="E22" i="7"/>
  <c r="E23" i="7"/>
  <c r="E24" i="7"/>
  <c r="E20" i="7"/>
  <c r="E25" i="7"/>
  <c r="E26" i="7"/>
  <c r="E27" i="7"/>
  <c r="E29" i="7"/>
  <c r="D20" i="7"/>
  <c r="D21" i="7"/>
  <c r="D22" i="7"/>
  <c r="B26" i="7"/>
  <c r="E7" i="7"/>
  <c r="E14" i="7"/>
  <c r="D84" i="7" l="1"/>
  <c r="D85" i="7"/>
  <c r="D83" i="7"/>
  <c r="D81" i="7"/>
  <c r="D87" i="7"/>
  <c r="D89" i="7"/>
  <c r="D82" i="7"/>
  <c r="B88" i="7"/>
  <c r="D88" i="7" s="1"/>
  <c r="C56" i="7"/>
  <c r="B56" i="7"/>
  <c r="D56" i="7"/>
  <c r="B80" i="7"/>
  <c r="D80" i="7" s="1"/>
  <c r="B79" i="7"/>
  <c r="D79" i="7" s="1"/>
  <c r="E5" i="7"/>
  <c r="E10" i="7"/>
  <c r="F15" i="7"/>
  <c r="D15" i="7"/>
  <c r="C15" i="7"/>
  <c r="B15" i="7"/>
  <c r="E12" i="7"/>
  <c r="E13" i="7"/>
  <c r="E8" i="7"/>
  <c r="C90" i="7"/>
  <c r="F26" i="7"/>
  <c r="D30" i="7"/>
  <c r="D40" i="7"/>
  <c r="E40" i="7" s="1"/>
  <c r="D35" i="7"/>
  <c r="E35" i="7" s="1"/>
  <c r="D37" i="7"/>
  <c r="E37" i="7" s="1"/>
  <c r="D34" i="7"/>
  <c r="E34" i="7" s="1"/>
  <c r="D42" i="7"/>
  <c r="E42" i="7" s="1"/>
  <c r="D44" i="7"/>
  <c r="E44" i="7" s="1"/>
  <c r="D36" i="7"/>
  <c r="E36" i="7" s="1"/>
  <c r="D38" i="7"/>
  <c r="E38" i="7" s="1"/>
  <c r="D39" i="7"/>
  <c r="E39" i="7" s="1"/>
  <c r="D41" i="7"/>
  <c r="E41" i="7" s="1"/>
  <c r="D43" i="7"/>
  <c r="E43" i="7" s="1"/>
  <c r="E11" i="7"/>
  <c r="E9" i="7"/>
  <c r="E6" i="7"/>
  <c r="F61" i="7"/>
  <c r="E30" i="7"/>
  <c r="C30" i="7"/>
  <c r="F22" i="7"/>
  <c r="F23" i="7"/>
  <c r="F27" i="7"/>
  <c r="F20" i="7"/>
  <c r="F21" i="7"/>
  <c r="F24" i="7"/>
  <c r="F25" i="7"/>
  <c r="F28" i="7"/>
  <c r="F29" i="7"/>
  <c r="B30" i="7"/>
  <c r="F19" i="7"/>
  <c r="D67" i="7"/>
  <c r="F60" i="7"/>
  <c r="B67" i="7"/>
  <c r="F63" i="7"/>
  <c r="F64" i="7"/>
  <c r="F66" i="7"/>
  <c r="F65" i="7"/>
  <c r="F62" i="7"/>
  <c r="C67" i="7"/>
  <c r="E67" i="7"/>
  <c r="B45" i="7"/>
  <c r="C45" i="7"/>
  <c r="E4" i="7"/>
  <c r="B90" i="7" l="1"/>
  <c r="D90" i="7" s="1"/>
  <c r="E15" i="7"/>
  <c r="F30" i="7"/>
  <c r="D45" i="7"/>
  <c r="E45" i="7" s="1"/>
  <c r="F67" i="7"/>
</calcChain>
</file>

<file path=xl/sharedStrings.xml><?xml version="1.0" encoding="utf-8"?>
<sst xmlns="http://schemas.openxmlformats.org/spreadsheetml/2006/main" count="1036" uniqueCount="384">
  <si>
    <t>Commonwealth Bank Social Media Dataset</t>
  </si>
  <si>
    <t>Purpose</t>
  </si>
  <si>
    <t>This simulated dataset supports Task 3 of the Commonwealth Bank data science program. It mirrors the type of social media content and engagement information learners could analyze without requiring access to a live X/Twitter account.</t>
  </si>
  <si>
    <t>Important note</t>
  </si>
  <si>
    <t>All posts and metrics in this workbook are fictional and created for educational use. They should not be treated as real Commonwealth Bank posts, real customer comments, or real performance data.</t>
  </si>
  <si>
    <t>How learners can use it</t>
  </si>
  <si>
    <t>Use the Social_Media_Posts sheet to explore sentiment, engagement, customer pain points, recurring topics, and trends over time. The Data_Dictionary sheet explains each column and how it connects to social media/API concepts.</t>
  </si>
  <si>
    <t>Suggested analyses</t>
  </si>
  <si>
    <t>1. Identify the topics that appear most often. 2. Compare engagement across topics, formats, and post types. 3. Review positive, negative, neutral, and mixed sentiment. 4. Find posts with high views but low engagement. 5. Summarize customer questions, complaints, praise, and feature feedback.</t>
  </si>
  <si>
    <t>post_id</t>
  </si>
  <si>
    <t>post_datetime</t>
  </si>
  <si>
    <t>post_type</t>
  </si>
  <si>
    <t>author_type</t>
  </si>
  <si>
    <t>author_follower_bucket</t>
  </si>
  <si>
    <t>post_text</t>
  </si>
  <si>
    <t>topic</t>
  </si>
  <si>
    <t>content_format</t>
  </si>
  <si>
    <t>hashtags</t>
  </si>
  <si>
    <t>mentions_commbank</t>
  </si>
  <si>
    <t>sentiment_label</t>
  </si>
  <si>
    <t>sentiment_score</t>
  </si>
  <si>
    <t>likes</t>
  </si>
  <si>
    <t>replies</t>
  </si>
  <si>
    <t>reposts</t>
  </si>
  <si>
    <t>quote_posts</t>
  </si>
  <si>
    <t>views</t>
  </si>
  <si>
    <t>link_clicks</t>
  </si>
  <si>
    <t>total_engagements</t>
  </si>
  <si>
    <t>engagement_rate</t>
  </si>
  <si>
    <t>day_of_week</t>
  </si>
  <si>
    <t>customer_intent</t>
  </si>
  <si>
    <t>response_needed</t>
  </si>
  <si>
    <t>api_field_examples</t>
  </si>
  <si>
    <t>SM001</t>
  </si>
  <si>
    <t>Original post</t>
  </si>
  <si>
    <t>CommBank</t>
  </si>
  <si>
    <t>50k+</t>
  </si>
  <si>
    <t>Scam alert: We will never ask for your NetBank password or one-time code by text message. If a message feels suspicious, stop and check before clicking.</t>
  </si>
  <si>
    <t>Fraud &amp; scams</t>
  </si>
  <si>
    <t>Text + image</t>
  </si>
  <si>
    <t>#ScamAwareness #CyberSafety</t>
  </si>
  <si>
    <t>No</t>
  </si>
  <si>
    <t>Neutral</t>
  </si>
  <si>
    <t>Educational content</t>
  </si>
  <si>
    <t>text, created_at, public_metrics, entities.hashtags</t>
  </si>
  <si>
    <t>SM002</t>
  </si>
  <si>
    <t>Reply</t>
  </si>
  <si>
    <t>Customer</t>
  </si>
  <si>
    <t>0-500</t>
  </si>
  <si>
    <t>Thanks for the reminder. Nearly clicked on a fake delivery text yesterday and this made me double-check.</t>
  </si>
  <si>
    <t>Text</t>
  </si>
  <si>
    <t>Yes</t>
  </si>
  <si>
    <t>Positive</t>
  </si>
  <si>
    <t>Praise</t>
  </si>
  <si>
    <t>text, in_reply_to_user_id, referenced_tweets</t>
  </si>
  <si>
    <t>SM003</t>
  </si>
  <si>
    <t>Mention</t>
  </si>
  <si>
    <t>@CommBank I received a message saying my card is locked. Is this real? The link looks strange.</t>
  </si>
  <si>
    <t>Negative</t>
  </si>
  <si>
    <t>Scam report</t>
  </si>
  <si>
    <t>text, entities.mentions, author_id</t>
  </si>
  <si>
    <t>SM004</t>
  </si>
  <si>
    <t>New budget habit: split your weekly spend into essentials, savings and fun money before the weekend starts.</t>
  </si>
  <si>
    <t>Financial wellbeing</t>
  </si>
  <si>
    <t>#MoneyTips #Budgeting</t>
  </si>
  <si>
    <t>text, created_at, public_metrics, media_keys</t>
  </si>
  <si>
    <t>SM005</t>
  </si>
  <si>
    <t>501-5k</t>
  </si>
  <si>
    <t>This is actually useful. Would love a template for tracking weekly spending categories.</t>
  </si>
  <si>
    <t>Feature feedback</t>
  </si>
  <si>
    <t>text, referenced_tweets, public_metrics</t>
  </si>
  <si>
    <t>SM006</t>
  </si>
  <si>
    <t>@CommBank app keeps timing out this morning. I need to pay rent before work.</t>
  </si>
  <si>
    <t>Digital banking</t>
  </si>
  <si>
    <t>Complaint</t>
  </si>
  <si>
    <t>text, entities.mentions, created_at</t>
  </si>
  <si>
    <t>SM007</t>
  </si>
  <si>
    <t>Sorry for the trouble. Please try closing and reopening the app. If the issue continues, send us a private message so we can help.</t>
  </si>
  <si>
    <t>Customer support</t>
  </si>
  <si>
    <t>text, referenced_tweets, conversation_id</t>
  </si>
  <si>
    <t>SM008</t>
  </si>
  <si>
    <t>Planning a home renovation? Compare quotes, keep a buffer for surprises and avoid transferring deposits until you verify the business.</t>
  </si>
  <si>
    <t>Link</t>
  </si>
  <si>
    <t>#HomeBudget #MoneySafety</t>
  </si>
  <si>
    <t>text, entities.urls, public_metrics</t>
  </si>
  <si>
    <t>SM009</t>
  </si>
  <si>
    <t>Business customer</t>
  </si>
  <si>
    <t>Our small business card payment issue was sorted quickly today. Appreciate the support team calling back.</t>
  </si>
  <si>
    <t>Business banking</t>
  </si>
  <si>
    <t>text, author_id, public_metrics</t>
  </si>
  <si>
    <t>SM010</t>
  </si>
  <si>
    <t>Scheduled maintenance: some card controls and notifications may be unavailable from 1:00am to 3:00am AEST on Sunday.</t>
  </si>
  <si>
    <t>Outage/service issue</t>
  </si>
  <si>
    <t>#ServiceUpdate</t>
  </si>
  <si>
    <t>News/update</t>
  </si>
  <si>
    <t>text, created_at, public_metrics</t>
  </si>
  <si>
    <t>SM011</t>
  </si>
  <si>
    <t>Thanks for giving the timing clearly. Much better than finding out during checkout.</t>
  </si>
  <si>
    <t>text, referenced_tweets</t>
  </si>
  <si>
    <t>SM012</t>
  </si>
  <si>
    <t>My transfer has been pending for hours and I can't find a clear status page. Is there an outage?</t>
  </si>
  <si>
    <t>Question</t>
  </si>
  <si>
    <t>SM013</t>
  </si>
  <si>
    <t>Three signs a message may be a scam: urgency, unusual links and requests for codes. Pause before you respond.</t>
  </si>
  <si>
    <t>Security education</t>
  </si>
  <si>
    <t>Text + video</t>
  </si>
  <si>
    <t>#CyberSafety #ScamAwareness</t>
  </si>
  <si>
    <t>text, attachments.media_keys, entities.hashtags</t>
  </si>
  <si>
    <t>SM014</t>
  </si>
  <si>
    <t>Quote post</t>
  </si>
  <si>
    <t>Scam awareness org</t>
  </si>
  <si>
    <t>5k-50k</t>
  </si>
  <si>
    <t>Good practical reminder from @CommBank. The 'urgent action required' wording is still one of the biggest red flags.</t>
  </si>
  <si>
    <t>#ScamAwareness</t>
  </si>
  <si>
    <t>text, referenced_tweets, entities.mentions</t>
  </si>
  <si>
    <t>SM015</t>
  </si>
  <si>
    <t>We are supporting local community groups with grants focused on financial confidence and digital skills.</t>
  </si>
  <si>
    <t>Community</t>
  </si>
  <si>
    <t>#Community #FinancialConfidence</t>
  </si>
  <si>
    <t>Campaign</t>
  </si>
  <si>
    <t>text, entities.hashtags, public_metrics</t>
  </si>
  <si>
    <t>SM016</t>
  </si>
  <si>
    <t>Community org</t>
  </si>
  <si>
    <t>Proud to be part of this program. The digital skills sessions have already helped our clients feel safer online.</t>
  </si>
  <si>
    <t>SM017</t>
  </si>
  <si>
    <t>Branch wait times are rough lately. I just need a replacement card and couldn't get through on chat.</t>
  </si>
  <si>
    <t>Branch/ATM</t>
  </si>
  <si>
    <t>text, entities.mentions</t>
  </si>
  <si>
    <t>SM018</t>
  </si>
  <si>
    <t>Travel tip: tell us before you go overseas and check card controls in the app before your first purchase.</t>
  </si>
  <si>
    <t>Card services</t>
  </si>
  <si>
    <t>#TravelMoney</t>
  </si>
  <si>
    <t>SM019</t>
  </si>
  <si>
    <t>Can I still use Apple Pay if my physical card is blocked while travelling?</t>
  </si>
  <si>
    <t>SM020</t>
  </si>
  <si>
    <t>Small business owners: join our free webinar on cash flow planning and preparing for quieter trading periods.</t>
  </si>
  <si>
    <t>#SmallBusiness #CashFlow</t>
  </si>
  <si>
    <t>SM021</t>
  </si>
  <si>
    <t>Would love more examples for seasonal businesses in the cash flow webinar. Retail is not the same as consulting.</t>
  </si>
  <si>
    <t>#SmallBusiness</t>
  </si>
  <si>
    <t>Mixed</t>
  </si>
  <si>
    <t>text, entities.hashtags, entities.mentions</t>
  </si>
  <si>
    <t>SM022</t>
  </si>
  <si>
    <t>We have added clearer transaction labels in the app to help you recognise subscriptions and recurring payments.</t>
  </si>
  <si>
    <t>#CommBankApp</t>
  </si>
  <si>
    <t>Product update</t>
  </si>
  <si>
    <t>text, public_metrics, attachments.media_keys</t>
  </si>
  <si>
    <t>SM023</t>
  </si>
  <si>
    <t>Finally! I have been trying to work out what one of my monthly charges was for ages.</t>
  </si>
  <si>
    <t>SM024</t>
  </si>
  <si>
    <t>Please add a way to rename merchants manually too. Some labels are still confusing.</t>
  </si>
  <si>
    <t>SM025</t>
  </si>
  <si>
    <t>ATM near my station has been out of service twice this week. Any update?</t>
  </si>
  <si>
    <t>SM026</t>
  </si>
  <si>
    <t>Start the month by checking subscriptions you no longer use. Small recurring payments can add up quickly.</t>
  </si>
  <si>
    <t>#MoneyTips</t>
  </si>
  <si>
    <t>SM027</t>
  </si>
  <si>
    <t>The new transaction labels are helpful, but my rent payment is now showing as entertainment, which is... optimistic.</t>
  </si>
  <si>
    <t>SM028</t>
  </si>
  <si>
    <t>If you are buying online, use secure payment options and be cautious of sellers asking to move the conversation off-platform.</t>
  </si>
  <si>
    <t>#OnlineSafety #ScamAwareness</t>
  </si>
  <si>
    <t>SM029</t>
  </si>
  <si>
    <t>This happened to me on a marketplace sale. A checklist would be really helpful.</t>
  </si>
  <si>
    <t>SM030</t>
  </si>
  <si>
    <t>Locked out of NetBank after changing phones. The recovery steps are not clear.</t>
  </si>
  <si>
    <t>SM031</t>
  </si>
  <si>
    <t>Today we are sharing practical tips for protecting older family members from impersonation scams.</t>
  </si>
  <si>
    <t>#ScamAwareness #FamilySafety</t>
  </si>
  <si>
    <t>SM032</t>
  </si>
  <si>
    <t>News/media</t>
  </si>
  <si>
    <t>Useful consumer safety advice from @CommBank as impersonation scams continue to target older Australians.</t>
  </si>
  <si>
    <t>SM033</t>
  </si>
  <si>
    <t>We are trialling new in-app prompts that ask customers to pause before sending money to a first-time payee.</t>
  </si>
  <si>
    <t>#CyberSafety</t>
  </si>
  <si>
    <t>SM034</t>
  </si>
  <si>
    <t>Good idea, but please make sure it does not slow down urgent transfers to family.</t>
  </si>
  <si>
    <t>SM035</t>
  </si>
  <si>
    <t>Is PayID down? Two people have tried to pay me and both transfers are stuck.</t>
  </si>
  <si>
    <t>#PayID</t>
  </si>
  <si>
    <t>SM036</t>
  </si>
  <si>
    <t>We are aware some customers are seeing delays with PayID transfers and our teams are investigating. We will share updates as soon as possible.</t>
  </si>
  <si>
    <t>text, conversation_id, public_metrics</t>
  </si>
  <si>
    <t>SM037</t>
  </si>
  <si>
    <t>Know the difference between available balance and current balance before making a large purchase.</t>
  </si>
  <si>
    <t>#MoneyTips #BankingBasics</t>
  </si>
  <si>
    <t>SM038</t>
  </si>
  <si>
    <t>Just used the spend tracker for the first time and it was a wake-up call, in a good way.</t>
  </si>
  <si>
    <t>SM039</t>
  </si>
  <si>
    <t>Card controls can help if your card is misplaced. Temporarily lock, unlock or replace your card in the app.</t>
  </si>
  <si>
    <t>text, attachments.media_keys, public_metrics</t>
  </si>
  <si>
    <t>SM040</t>
  </si>
  <si>
    <t>This saved me last month. Found the card under my car seat after locking it in the app.</t>
  </si>
  <si>
    <t>SM041</t>
  </si>
  <si>
    <t>We are investing in energy efficiency upgrades across selected branches to reduce operational emissions.</t>
  </si>
  <si>
    <t>Sustainability</t>
  </si>
  <si>
    <t>#Sustainability</t>
  </si>
  <si>
    <t>SM042</t>
  </si>
  <si>
    <t>Good, but customers also want greener lending options and clearer reporting.</t>
  </si>
  <si>
    <t>SM043</t>
  </si>
  <si>
    <t>The ATM locator sent me to a branch that has moved. Please update the map.</t>
  </si>
  <si>
    <t>SM044</t>
  </si>
  <si>
    <t>Before tax time, check that your bank statements and interest summaries are easy to access in NetBank.</t>
  </si>
  <si>
    <t>#TaxTime #NetBank</t>
  </si>
  <si>
    <t>SM045</t>
  </si>
  <si>
    <t>Trying to download statements and the page keeps refreshing. Anyone else?</t>
  </si>
  <si>
    <t>#NetBank</t>
  </si>
  <si>
    <t>SM046</t>
  </si>
  <si>
    <t>Thinking about your first credit card? Compare fees, interest rates and repayment habits before applying.</t>
  </si>
  <si>
    <t>#BankingBasics #MoneyTips</t>
  </si>
  <si>
    <t>SM047</t>
  </si>
  <si>
    <t>Can you make an explainer for students who are new to credit? The language is still intimidating.</t>
  </si>
  <si>
    <t>SM048</t>
  </si>
  <si>
    <t>Reminder: genuine bank staff will not ask you to transfer money to a 'safe account'. Stop, check and report suspicious requests.</t>
  </si>
  <si>
    <t>#ScamAwareness #StopCheckReport</t>
  </si>
  <si>
    <t>SM049</t>
  </si>
  <si>
    <t>A caller used the safe account line on my mum today. She hung up because she'd seen your post.</t>
  </si>
  <si>
    <t>SM050</t>
  </si>
  <si>
    <t>We are updating the app home screen to make upcoming bills and scheduled payments easier to find.</t>
  </si>
  <si>
    <t>SM051</t>
  </si>
  <si>
    <t>Please do not move everything again. The last redesign made regular transfers harder to find.</t>
  </si>
  <si>
    <t>SM052</t>
  </si>
  <si>
    <t>Credit where due: the fraud team called quickly after I reported a suspicious transfer.</t>
  </si>
  <si>
    <t>text, entities.mentions, public_metrics</t>
  </si>
  <si>
    <t>SM053</t>
  </si>
  <si>
    <t>Winter energy bills can be unpredictable. Build a small buffer where possible and review direct debits before they are due.</t>
  </si>
  <si>
    <t>SM054</t>
  </si>
  <si>
    <t>Can the app notify me before a direct debit if my balance is low? That would prevent a lot of stress.</t>
  </si>
  <si>
    <t>SM055</t>
  </si>
  <si>
    <t>We are celebrating teams volunteering with local partners to improve financial confidence in regional communities.</t>
  </si>
  <si>
    <t>#Community #Volunteering</t>
  </si>
  <si>
    <t>SM056</t>
  </si>
  <si>
    <t>Thank you @CommBank for supporting practical financial education in our region.</t>
  </si>
  <si>
    <t>#Community</t>
  </si>
  <si>
    <t>SM057</t>
  </si>
  <si>
    <t>If a payment request arrives unexpectedly, call the person on a trusted number before sending money.</t>
  </si>
  <si>
    <t>#CyberSafety #StopCheckReport</t>
  </si>
  <si>
    <t>SM058</t>
  </si>
  <si>
    <t>Why is there no clear scam reporting button in the app? I had to search around for it.</t>
  </si>
  <si>
    <t>SM059</t>
  </si>
  <si>
    <t>Our app update includes accessibility improvements for screen readers and clearer error messages.</t>
  </si>
  <si>
    <t>#CommBankApp #Accessibility</t>
  </si>
  <si>
    <t>SM060</t>
  </si>
  <si>
    <t>The clearer error messages help. Please make the font size easier to adjust too.</t>
  </si>
  <si>
    <t>Column</t>
  </si>
  <si>
    <t>Description</t>
  </si>
  <si>
    <t>Student use</t>
  </si>
  <si>
    <t>X/Twitter API or analytics concept</t>
  </si>
  <si>
    <t>Unique identifier for each simulated social media item.</t>
  </si>
  <si>
    <t>Reference individual posts when discussing findings.</t>
  </si>
  <si>
    <t>id</t>
  </si>
  <si>
    <t>Date and time the post was published.</t>
  </si>
  <si>
    <t>Analyze timing, trends, and day-of-week patterns.</t>
  </si>
  <si>
    <t>created_at</t>
  </si>
  <si>
    <t>Whether the row is a brand post, customer reply, mention, or quote post.</t>
  </si>
  <si>
    <t>Compare original posts with customer interactions.</t>
  </si>
  <si>
    <t>referenced_tweets, conversation_id</t>
  </si>
  <si>
    <t>Simplified category of the account that created the post.</t>
  </si>
  <si>
    <t>Explore who is engaging with the brand.</t>
  </si>
  <si>
    <t>author_id with user profile enrichment</t>
  </si>
  <si>
    <t>Approximate audience-size bucket for the author.</t>
  </si>
  <si>
    <t>Compare engagement from smaller vs. larger accounts.</t>
  </si>
  <si>
    <t>public_metrics.followers_count</t>
  </si>
  <si>
    <t>Simulated text content of the social media post.</t>
  </si>
  <si>
    <t>Perform topic, keyword, and sentiment analysis.</t>
  </si>
  <si>
    <t>text</t>
  </si>
  <si>
    <t>Curated topic label for the post.</t>
  </si>
  <si>
    <t>Group posts into themes such as fraud, app issues, or financial wellbeing.</t>
  </si>
  <si>
    <t>Derived classification from text/entities</t>
  </si>
  <si>
    <t>Simplified format of the post: text, image, video, link, etc.</t>
  </si>
  <si>
    <t>Compare engagement by format.</t>
  </si>
  <si>
    <t>attachments, media_keys, entities.urls</t>
  </si>
  <si>
    <t>Hashtags included in the simulated post.</t>
  </si>
  <si>
    <t>Identify recurring campaign or topic markers.</t>
  </si>
  <si>
    <t>entities.hashtags</t>
  </si>
  <si>
    <t>Whether the post mentions Commonwealth Bank.</t>
  </si>
  <si>
    <t>Separate brand-originated posts from customer mentions.</t>
  </si>
  <si>
    <t>entities.mentions</t>
  </si>
  <si>
    <t>Curated sentiment category.</t>
  </si>
  <si>
    <t>Summarize positive, negative, neutral, and mixed responses.</t>
  </si>
  <si>
    <t>Derived NLP output</t>
  </si>
  <si>
    <t>Numeric sentiment score from -1 to +1.</t>
  </si>
  <si>
    <t>Calculate average sentiment by topic or post type.</t>
  </si>
  <si>
    <t>Simulated like count.</t>
  </si>
  <si>
    <t>Measure visible approval or interest.</t>
  </si>
  <si>
    <t>public_metrics.like_count</t>
  </si>
  <si>
    <t>Simulated reply count.</t>
  </si>
  <si>
    <t>Measure conversation volume and support needs.</t>
  </si>
  <si>
    <t>public_metrics.reply_count</t>
  </si>
  <si>
    <t>Simulated repost/share count.</t>
  </si>
  <si>
    <t>Measure amplification.</t>
  </si>
  <si>
    <t>public_metrics.retweet_count/repost_count</t>
  </si>
  <si>
    <t>Simulated quote post count.</t>
  </si>
  <si>
    <t>Measure public commentary beyond direct replies.</t>
  </si>
  <si>
    <t>public_metrics.quote_count</t>
  </si>
  <si>
    <t>Simulated view/impression count.</t>
  </si>
  <si>
    <t>Find high-reach posts and high-view/low-engagement posts.</t>
  </si>
  <si>
    <t>impression_count or analytics field</t>
  </si>
  <si>
    <t>Simulated click count for links or calls to action. This may require internal analytics access.</t>
  </si>
  <si>
    <t>Evaluate whether posts drive action beyond public engagement.</t>
  </si>
  <si>
    <t>URL analytics/owned social reporting; not always public API</t>
  </si>
  <si>
    <t>Formula that adds likes, replies, reposts, quote posts, and link clicks.</t>
  </si>
  <si>
    <t>Sort by highest engagement.</t>
  </si>
  <si>
    <t>Derived metric</t>
  </si>
  <si>
    <t>Formula: total engagements divided by views.</t>
  </si>
  <si>
    <t>Compare performance while accounting for reach.</t>
  </si>
  <si>
    <t>Formula derived from post_datetime.</t>
  </si>
  <si>
    <t>Explore timing patterns.</t>
  </si>
  <si>
    <t>Derived from created_at</t>
  </si>
  <si>
    <t>Curated reason for the post, such as complaint, question, praise, or feature feedback.</t>
  </si>
  <si>
    <t>Identify support needs and insight opportunities.</t>
  </si>
  <si>
    <t>Derived classification</t>
  </si>
  <si>
    <t>Whether the row appears to need a customer support response.</t>
  </si>
  <si>
    <t>Prioritize issues that need action.</t>
  </si>
  <si>
    <t>Derived business rule</t>
  </si>
  <si>
    <t>Examples of API fields or concepts that could produce similar information.</t>
  </si>
  <si>
    <t>Connect the dataset back to API documentation.</t>
  </si>
  <si>
    <t>Documentation mapping</t>
  </si>
  <si>
    <t>Analysis area</t>
  </si>
  <si>
    <t>Question learners can answer with the dataset</t>
  </si>
  <si>
    <t>Relevant columns</t>
  </si>
  <si>
    <t>Topic analysis</t>
  </si>
  <si>
    <t>Which topics appear most often, and what do those topics suggest customers care about?</t>
  </si>
  <si>
    <t>topic, post_text, hashtags</t>
  </si>
  <si>
    <t>Engagement analysis</t>
  </si>
  <si>
    <t>Which posts generate the most total engagement? Do the highest-view posts also receive the highest engagement?</t>
  </si>
  <si>
    <t>likes, replies, reposts, quote_posts, views, link_clicks, total_engagements, engagement_rate</t>
  </si>
  <si>
    <t>Sentiment analysis</t>
  </si>
  <si>
    <t>Which topics have the most positive, negative, neutral, or mixed sentiment?</t>
  </si>
  <si>
    <t>topic, sentiment_label, sentiment_score</t>
  </si>
  <si>
    <t>Which posts likely require a response from CommBank, and what themes do they share?</t>
  </si>
  <si>
    <t>post_type, customer_intent, response_needed, topic, post_text</t>
  </si>
  <si>
    <t>Trend analysis</t>
  </si>
  <si>
    <t>Do certain topics or sentiment patterns appear more often on specific dates or days of the week?</t>
  </si>
  <si>
    <t>post_datetime, day_of_week, topic, sentiment_label</t>
  </si>
  <si>
    <t>Marketing insight</t>
  </si>
  <si>
    <t>Which formats or campaign themes appear to resonate most with audiences?</t>
  </si>
  <si>
    <t>content_format, hashtags, topic, engagement_rate</t>
  </si>
  <si>
    <t>Product insight</t>
  </si>
  <si>
    <t>What app, NetBank, card, or service improvements are customers requesting?</t>
  </si>
  <si>
    <t>topic, customer_intent, post_text</t>
  </si>
  <si>
    <t>Risk insight</t>
  </si>
  <si>
    <t>What scam or security concerns are most visible in the data?</t>
  </si>
  <si>
    <t>topic, customer_intent, sentiment_label, post_text</t>
  </si>
  <si>
    <t>Resource</t>
  </si>
  <si>
    <t>Use in task</t>
  </si>
  <si>
    <t>URL</t>
  </si>
  <si>
    <t>X API documentation</t>
  </si>
  <si>
    <t>Understand available fields and API concepts that can map to this dataset.</t>
  </si>
  <si>
    <t>http://docs.x.com/overview</t>
  </si>
  <si>
    <t>X API Getting Started PDF</t>
  </si>
  <si>
    <t>Reference for introductory API concepts.</t>
  </si>
  <si>
    <t>https://cdn.theforage.com/vinternships/companyassets/2sNmYuurxgpFYawco/y2NzZJASdgERdYR4S/1675682056660/getting_started.pdf</t>
  </si>
  <si>
    <t>Social media sentiment analysis</t>
  </si>
  <si>
    <t>Background reading for classifying positive, negative, neutral, and mixed social media text.</t>
  </si>
  <si>
    <t>Add program-approved URL here</t>
  </si>
  <si>
    <t>Sunday</t>
  </si>
  <si>
    <t>Monday</t>
  </si>
  <si>
    <t>Tuesday</t>
  </si>
  <si>
    <t>Wednesday</t>
  </si>
  <si>
    <t>Thursday</t>
  </si>
  <si>
    <t>Friday</t>
  </si>
  <si>
    <t>Saturday</t>
  </si>
  <si>
    <t>1. Topic frequency &amp; engagement</t>
  </si>
  <si>
    <t>Topic</t>
  </si>
  <si>
    <t>Post Count</t>
  </si>
  <si>
    <t>Total Engagements</t>
  </si>
  <si>
    <t>Total Views</t>
  </si>
  <si>
    <t>Weighted Engagement Rate</t>
  </si>
  <si>
    <t>Average Sentiment Score</t>
  </si>
  <si>
    <t>2. Sentiment mix by topic</t>
  </si>
  <si>
    <t>Total Post</t>
  </si>
  <si>
    <t>Total</t>
  </si>
  <si>
    <t>3. Response-needed posts by topic</t>
  </si>
  <si>
    <t>Needed Response</t>
  </si>
  <si>
    <t>No Response Needed</t>
  </si>
  <si>
    <t>Total Posts</t>
  </si>
  <si>
    <t>% Needing Response</t>
  </si>
  <si>
    <t>Day</t>
  </si>
  <si>
    <t>5. Sentiment mix by day of week</t>
  </si>
  <si>
    <t>4. Day of week summary</t>
  </si>
  <si>
    <t>Content Format</t>
  </si>
  <si>
    <t>6. Content format resonance</t>
  </si>
  <si>
    <t>7. High-views / low engagement posts by topis</t>
  </si>
  <si>
    <t>high_views_low_engage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</si>
</sst>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hh:mm"/>
    <numFmt numFmtId="165" formatCode="0.0%"/>
  </numFmts>
  <fonts count="8">
    <font>
      <sz val="11"/>
      <name val="Carlito"/>
    </font>
    <font>
      <b/>
      <sz val="18"/>
      <color rgb="FFFFFFFF"/>
      <name val="Carlito"/>
    </font>
    <font>
      <b/>
      <sz val="11"/>
      <color rgb="FF1F4E78"/>
      <name val="Carlito"/>
    </font>
    <font>
      <b/>
      <sz val="11"/>
      <color rgb="FFFFFFFF"/>
      <name val="Carlito"/>
    </font>
    <font>
      <sz val="11"/>
      <color theme="1"/>
      <name val="Carlito"/>
    </font>
    <font>
      <sz val="11"/>
      <name val="Carlito"/>
    </font>
    <font>
      <sz val="11"/>
      <color theme="0"/>
      <name val="Carlito"/>
    </font>
    <font>
      <b/>
      <sz val="11"/>
      <name val="Carlito"/>
    </font>
  </fonts>
  <fills count="5">
    <fill>
      <patternFill patternType="none"/>
    </fill>
    <fill>
      <patternFill patternType="gray125"/>
    </fill>
    <fill>
      <patternFill patternType="solid">
        <fgColor rgb="FF1F4E78"/>
      </patternFill>
    </fill>
    <fill>
      <patternFill patternType="solid">
        <fgColor rgb="FFD9EAF7"/>
      </patternFill>
    </fill>
    <fill>
      <patternFill patternType="solid">
        <fgColor theme="3"/>
        <bgColor indexed="64"/>
      </patternFill>
    </fill>
  </fills>
  <borders count="15">
    <border>
      <left/>
      <right/>
      <top/>
      <bottom/>
      <diagonal/>
    </border>
    <border>
      <left style="thin">
        <color theme="3" tint="9.9978637043366805E-2"/>
      </left>
      <right style="thin">
        <color theme="3" tint="9.9978637043366805E-2"/>
      </right>
      <top style="thin">
        <color theme="3" tint="9.9978637043366805E-2"/>
      </top>
      <bottom style="thin">
        <color theme="3" tint="9.9978637043366805E-2"/>
      </bottom>
      <diagonal/>
    </border>
    <border>
      <left/>
      <right style="thin">
        <color theme="0"/>
      </right>
      <top/>
      <bottom style="thin">
        <color theme="3" tint="9.9978637043366805E-2"/>
      </bottom>
      <diagonal/>
    </border>
    <border>
      <left style="thin">
        <color theme="0"/>
      </left>
      <right style="thin">
        <color theme="0"/>
      </right>
      <top/>
      <bottom style="thin">
        <color theme="3" tint="9.9978637043366805E-2"/>
      </bottom>
      <diagonal/>
    </border>
    <border>
      <left/>
      <right style="thin">
        <color theme="0"/>
      </right>
      <top style="thin">
        <color theme="3" tint="9.9978637043366805E-2"/>
      </top>
      <bottom/>
      <diagonal/>
    </border>
    <border>
      <left style="thin">
        <color theme="0"/>
      </left>
      <right style="thin">
        <color theme="0"/>
      </right>
      <top style="thin">
        <color theme="3" tint="9.9978637043366805E-2"/>
      </top>
      <bottom/>
      <diagonal/>
    </border>
    <border>
      <left style="thin">
        <color theme="3" tint="9.9978637043366805E-2"/>
      </left>
      <right/>
      <top style="thin">
        <color theme="3" tint="9.9978637043366805E-2"/>
      </top>
      <bottom style="thin">
        <color theme="3" tint="9.9978637043366805E-2"/>
      </bottom>
      <diagonal/>
    </border>
    <border>
      <left style="thin">
        <color theme="0"/>
      </left>
      <right/>
      <top style="thin">
        <color theme="3" tint="9.9978637043366805E-2"/>
      </top>
      <bottom/>
      <diagonal/>
    </border>
    <border>
      <left style="thin">
        <color theme="0"/>
      </left>
      <right style="thin">
        <color theme="0"/>
      </right>
      <top style="thin">
        <color theme="0"/>
      </top>
      <bottom style="thin">
        <color theme="0"/>
      </bottom>
      <diagonal/>
    </border>
    <border>
      <left style="thin">
        <color theme="3"/>
      </left>
      <right style="thin">
        <color theme="3"/>
      </right>
      <top style="thin">
        <color theme="3"/>
      </top>
      <bottom style="thin">
        <color theme="3"/>
      </bottom>
      <diagonal/>
    </border>
    <border>
      <left style="thin">
        <color theme="0"/>
      </left>
      <right style="thin">
        <color theme="0"/>
      </right>
      <top/>
      <bottom style="thin">
        <color theme="0"/>
      </bottom>
      <diagonal/>
    </border>
    <border>
      <left/>
      <right style="thin">
        <color theme="3"/>
      </right>
      <top style="thin">
        <color theme="3"/>
      </top>
      <bottom style="thin">
        <color theme="3"/>
      </bottom>
      <diagonal/>
    </border>
    <border>
      <left style="thin">
        <color theme="3" tint="9.9978637043366805E-2"/>
      </left>
      <right style="thin">
        <color theme="3" tint="9.9978637043366805E-2"/>
      </right>
      <top style="thin">
        <color theme="3" tint="9.9978637043366805E-2"/>
      </top>
      <bottom/>
      <diagonal/>
    </border>
    <border>
      <left/>
      <right style="thin">
        <color theme="3" tint="9.9978637043366805E-2"/>
      </right>
      <top style="thin">
        <color theme="3" tint="9.9978637043366805E-2"/>
      </top>
      <bottom style="thin">
        <color theme="3" tint="9.9978637043366805E-2"/>
      </bottom>
      <diagonal/>
    </border>
    <border>
      <left/>
      <right style="thin">
        <color theme="0"/>
      </right>
      <top/>
      <bottom/>
      <diagonal/>
    </border>
  </borders>
  <cellStyleXfs count="2">
    <xf numFmtId="0" fontId="0" fillId="0" borderId="0"/>
    <xf numFmtId="9" fontId="5" fillId="0" borderId="0" applyFont="0" applyFill="0" applyBorder="0" applyAlignment="0" applyProtection="0"/>
  </cellStyleXfs>
  <cellXfs count="45">
    <xf numFmtId="0" fontId="0" fillId="0" borderId="0" xfId="0"/>
    <xf numFmtId="0" fontId="1" fillId="2" borderId="0" xfId="0" applyFont="1" applyFill="1" applyAlignment="1">
      <alignment horizontal="left" vertical="center"/>
    </xf>
    <xf numFmtId="0" fontId="2" fillId="3" borderId="0" xfId="0" applyFont="1" applyFill="1"/>
    <xf numFmtId="0" fontId="0" fillId="0" borderId="0" xfId="0" applyAlignment="1">
      <alignment wrapText="1"/>
    </xf>
    <xf numFmtId="0" fontId="2" fillId="3" borderId="0" xfId="0" applyFont="1" applyFill="1" applyAlignment="1">
      <alignment wrapText="1"/>
    </xf>
    <xf numFmtId="0" fontId="3" fillId="2" borderId="0" xfId="0" applyFont="1" applyFill="1" applyAlignment="1">
      <alignment horizontal="center" vertical="center" wrapText="1"/>
    </xf>
    <xf numFmtId="164" fontId="0" fillId="0" borderId="0" xfId="0" applyNumberFormat="1" applyAlignment="1">
      <alignment wrapText="1"/>
    </xf>
    <xf numFmtId="2" fontId="0" fillId="0" borderId="0" xfId="0" applyNumberFormat="1" applyAlignment="1">
      <alignment wrapText="1"/>
    </xf>
    <xf numFmtId="3" fontId="0" fillId="0" borderId="0" xfId="0" applyNumberFormat="1" applyAlignment="1">
      <alignment wrapText="1"/>
    </xf>
    <xf numFmtId="10" fontId="0" fillId="0" borderId="0" xfId="0" applyNumberFormat="1" applyAlignment="1">
      <alignment wrapText="1"/>
    </xf>
    <xf numFmtId="0" fontId="0" fillId="0" borderId="0" xfId="0" applyFill="1" applyBorder="1"/>
    <xf numFmtId="0" fontId="4" fillId="0" borderId="0" xfId="0" applyFont="1" applyFill="1" applyBorder="1" applyAlignment="1">
      <alignment wrapText="1"/>
    </xf>
    <xf numFmtId="0" fontId="0" fillId="0" borderId="1" xfId="0" applyFill="1" applyBorder="1"/>
    <xf numFmtId="0" fontId="4" fillId="0" borderId="1" xfId="0" applyFont="1" applyFill="1" applyBorder="1" applyAlignment="1">
      <alignment wrapText="1"/>
    </xf>
    <xf numFmtId="0" fontId="6" fillId="4" borderId="0" xfId="0" applyFont="1" applyFill="1" applyBorder="1" applyAlignment="1">
      <alignment horizontal="center" vertical="center" wrapText="1"/>
    </xf>
    <xf numFmtId="0" fontId="6" fillId="4" borderId="2" xfId="0" applyFont="1" applyFill="1" applyBorder="1" applyAlignment="1">
      <alignment horizontal="center" vertical="center" wrapText="1"/>
    </xf>
    <xf numFmtId="0" fontId="6" fillId="4" borderId="3" xfId="0" applyFont="1" applyFill="1" applyBorder="1" applyAlignment="1">
      <alignment horizontal="center" vertical="center" wrapText="1"/>
    </xf>
    <xf numFmtId="165" fontId="0" fillId="0" borderId="1" xfId="1" applyNumberFormat="1" applyFont="1" applyFill="1" applyBorder="1"/>
    <xf numFmtId="2" fontId="0" fillId="0" borderId="1" xfId="0" applyNumberFormat="1" applyFill="1" applyBorder="1"/>
    <xf numFmtId="1" fontId="0" fillId="0" borderId="1" xfId="0" applyNumberFormat="1" applyFill="1" applyBorder="1"/>
    <xf numFmtId="0" fontId="6" fillId="4" borderId="0" xfId="0" applyFont="1" applyFill="1" applyBorder="1"/>
    <xf numFmtId="0" fontId="6" fillId="4" borderId="4" xfId="0" applyFont="1" applyFill="1" applyBorder="1"/>
    <xf numFmtId="0" fontId="6" fillId="4" borderId="5" xfId="0" applyFont="1" applyFill="1" applyBorder="1"/>
    <xf numFmtId="0" fontId="6" fillId="0" borderId="0" xfId="0" applyFont="1" applyFill="1" applyBorder="1" applyAlignment="1">
      <alignment horizontal="center" vertical="center" wrapText="1"/>
    </xf>
    <xf numFmtId="0" fontId="6" fillId="0" borderId="0" xfId="0" applyFont="1" applyFill="1" applyBorder="1"/>
    <xf numFmtId="1" fontId="0" fillId="0" borderId="0" xfId="0" applyNumberFormat="1" applyFill="1" applyBorder="1"/>
    <xf numFmtId="0" fontId="0" fillId="0" borderId="6" xfId="0" applyFill="1" applyBorder="1"/>
    <xf numFmtId="0" fontId="6" fillId="4" borderId="7" xfId="0" applyFont="1" applyFill="1" applyBorder="1"/>
    <xf numFmtId="9" fontId="0" fillId="0" borderId="9" xfId="1" applyFont="1" applyFill="1" applyBorder="1"/>
    <xf numFmtId="9" fontId="6" fillId="4" borderId="9" xfId="1" applyFont="1" applyFill="1" applyBorder="1"/>
    <xf numFmtId="0" fontId="6" fillId="4" borderId="11" xfId="0" applyFont="1" applyFill="1" applyBorder="1" applyAlignment="1">
      <alignment horizontal="center" vertical="center" wrapText="1"/>
    </xf>
    <xf numFmtId="2" fontId="0" fillId="0" borderId="1" xfId="1" applyNumberFormat="1" applyFont="1" applyFill="1" applyBorder="1"/>
    <xf numFmtId="2" fontId="6" fillId="4" borderId="5" xfId="1" applyNumberFormat="1" applyFont="1" applyFill="1" applyBorder="1"/>
    <xf numFmtId="165" fontId="0" fillId="0" borderId="12" xfId="1" applyNumberFormat="1" applyFont="1" applyFill="1" applyBorder="1"/>
    <xf numFmtId="0" fontId="6" fillId="4" borderId="8" xfId="0" applyFont="1" applyFill="1" applyBorder="1"/>
    <xf numFmtId="165" fontId="6" fillId="4" borderId="8" xfId="1" applyNumberFormat="1" applyFont="1" applyFill="1" applyBorder="1"/>
    <xf numFmtId="2" fontId="6" fillId="4" borderId="8" xfId="0" applyNumberFormat="1" applyFont="1" applyFill="1" applyBorder="1"/>
    <xf numFmtId="2" fontId="6" fillId="0" borderId="8" xfId="0" applyNumberFormat="1" applyFont="1" applyFill="1" applyBorder="1"/>
    <xf numFmtId="0" fontId="6" fillId="4" borderId="10" xfId="0" applyFont="1" applyFill="1" applyBorder="1"/>
    <xf numFmtId="165" fontId="6" fillId="4" borderId="10" xfId="1" applyNumberFormat="1" applyFont="1" applyFill="1" applyBorder="1"/>
    <xf numFmtId="0" fontId="0" fillId="0" borderId="13" xfId="0" applyFill="1" applyBorder="1"/>
    <xf numFmtId="0" fontId="6" fillId="4" borderId="14" xfId="0" applyFont="1" applyFill="1" applyBorder="1" applyAlignment="1">
      <alignment horizontal="center" vertical="center" wrapText="1"/>
    </xf>
    <xf numFmtId="0" fontId="7" fillId="0" borderId="0" xfId="0" applyFont="1"/>
    <xf numFmtId="0" fontId="0" fillId="0" borderId="0" xfId="0" applyAlignment="1">
      <alignment horizontal="left" vertical="center" indent="1"/>
    </xf>
    <xf numFmtId="0" fontId="0" fillId="0" borderId="0" xfId="0" applyAlignment="1">
      <alignment horizontal="center" vertical="center" wrapText="1"/>
    </xf>
  </cellXfs>
  <cellStyles count="2">
    <cellStyle name="Normal" xfId="0" builtinId="0"/>
    <cellStyle name="Percent" xfId="1" builtinId="5"/>
  </cellStyles>
  <dxfs count="13">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patternType="solid">
          <bgColor rgb="FFFDE68A"/>
        </patternFill>
      </fil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18" Type="http://schemas.openxmlformats.org/officeDocument/2006/relationships/customXml" Target="../customXml/item7.xml"/><Relationship Id="rId26" Type="http://schemas.openxmlformats.org/officeDocument/2006/relationships/customXml" Target="../customXml/item15.xml"/><Relationship Id="rId3" Type="http://schemas.openxmlformats.org/officeDocument/2006/relationships/worksheet" Target="worksheets/sheet3.xml"/><Relationship Id="rId21" Type="http://schemas.openxmlformats.org/officeDocument/2006/relationships/customXml" Target="../customXml/item10.xml"/><Relationship Id="rId7" Type="http://schemas.openxmlformats.org/officeDocument/2006/relationships/worksheet" Target="worksheets/sheet7.xml"/><Relationship Id="rId12" Type="http://schemas.openxmlformats.org/officeDocument/2006/relationships/customXml" Target="../customXml/item1.xml"/><Relationship Id="rId17" Type="http://schemas.openxmlformats.org/officeDocument/2006/relationships/customXml" Target="../customXml/item6.xml"/><Relationship Id="rId25" Type="http://schemas.openxmlformats.org/officeDocument/2006/relationships/customXml" Target="../customXml/item14.xml"/><Relationship Id="rId2" Type="http://schemas.openxmlformats.org/officeDocument/2006/relationships/worksheet" Target="worksheets/sheet2.xml"/><Relationship Id="rId16" Type="http://schemas.openxmlformats.org/officeDocument/2006/relationships/customXml" Target="../customXml/item5.xml"/><Relationship Id="rId20" Type="http://schemas.openxmlformats.org/officeDocument/2006/relationships/customXml" Target="../customXml/item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24" Type="http://schemas.openxmlformats.org/officeDocument/2006/relationships/customXml" Target="../customXml/item13.xml"/><Relationship Id="rId5" Type="http://schemas.openxmlformats.org/officeDocument/2006/relationships/worksheet" Target="worksheets/sheet5.xml"/><Relationship Id="rId15" Type="http://schemas.openxmlformats.org/officeDocument/2006/relationships/customXml" Target="../customXml/item4.xml"/><Relationship Id="rId23" Type="http://schemas.openxmlformats.org/officeDocument/2006/relationships/customXml" Target="../customXml/item12.xml"/><Relationship Id="rId10" Type="http://schemas.openxmlformats.org/officeDocument/2006/relationships/sharedStrings" Target="sharedStrings.xml"/><Relationship Id="rId19" Type="http://schemas.openxmlformats.org/officeDocument/2006/relationships/customXml" Target="../customXml/item8.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 Id="rId22" Type="http://schemas.openxmlformats.org/officeDocument/2006/relationships/customXml" Target="../customXml/item11.xml"/><Relationship Id="rId27" Type="http://schemas.openxmlformats.org/officeDocument/2006/relationships/customXml" Target="../customXml/item1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title>
      <c:tx>
        <c:rich>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r>
              <a:rPr lang="en-US"/>
              <a:t>Total Engagements by Topic</a:t>
            </a:r>
          </a:p>
        </c:rich>
      </c:tx>
      <c:overlay val="0"/>
      <c:spPr>
        <a:noFill/>
        <a:ln>
          <a:noFill/>
        </a:ln>
        <a:effectLst/>
      </c:spPr>
      <c:txPr>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endParaRPr lang="en-US"/>
        </a:p>
      </c:txPr>
    </c:title>
    <c:autoTitleDeleted val="0"/>
    <c:plotArea>
      <c:layout/>
      <c:barChart>
        <c:barDir val="col"/>
        <c:grouping val="stacked"/>
        <c:varyColors val="0"/>
        <c:ser>
          <c:idx val="1"/>
          <c:order val="1"/>
          <c:tx>
            <c:strRef>
              <c:f>Analyst!$C$3</c:f>
              <c:strCache>
                <c:ptCount val="1"/>
                <c:pt idx="0">
                  <c:v>Total Engagements</c:v>
                </c:pt>
              </c:strCache>
            </c:strRef>
          </c:tx>
          <c:spPr>
            <a:solidFill>
              <a:schemeClr val="tx2"/>
            </a:solidFill>
            <a:ln>
              <a:noFill/>
            </a:ln>
            <a:effectLst/>
          </c:spPr>
          <c:invertIfNegative val="0"/>
          <c:cat>
            <c:strRef>
              <c:f>Analyst!$A$4:$A$14</c:f>
              <c:strCache>
                <c:ptCount val="11"/>
                <c:pt idx="0">
                  <c:v>Fraud &amp; scams</c:v>
                </c:pt>
                <c:pt idx="1">
                  <c:v>Financial wellbeing</c:v>
                </c:pt>
                <c:pt idx="2">
                  <c:v>Security education</c:v>
                </c:pt>
                <c:pt idx="3">
                  <c:v>Digital banking</c:v>
                </c:pt>
                <c:pt idx="4">
                  <c:v>Card services</c:v>
                </c:pt>
                <c:pt idx="5">
                  <c:v>Community</c:v>
                </c:pt>
                <c:pt idx="6">
                  <c:v>Business banking</c:v>
                </c:pt>
                <c:pt idx="7">
                  <c:v>Sustainability</c:v>
                </c:pt>
                <c:pt idx="8">
                  <c:v>Outage/service issue</c:v>
                </c:pt>
                <c:pt idx="9">
                  <c:v>Branch/ATM</c:v>
                </c:pt>
                <c:pt idx="10">
                  <c:v>Customer support</c:v>
                </c:pt>
              </c:strCache>
            </c:strRef>
          </c:cat>
          <c:val>
            <c:numRef>
              <c:f>Analyst!$C$4:$C$14</c:f>
              <c:numCache>
                <c:formatCode>General</c:formatCode>
                <c:ptCount val="11"/>
                <c:pt idx="0">
                  <c:v>36283</c:v>
                </c:pt>
                <c:pt idx="1">
                  <c:v>23309</c:v>
                </c:pt>
                <c:pt idx="2">
                  <c:v>22360</c:v>
                </c:pt>
                <c:pt idx="3">
                  <c:v>21176</c:v>
                </c:pt>
                <c:pt idx="4">
                  <c:v>8303</c:v>
                </c:pt>
                <c:pt idx="5">
                  <c:v>8279</c:v>
                </c:pt>
                <c:pt idx="6">
                  <c:v>2671</c:v>
                </c:pt>
                <c:pt idx="7">
                  <c:v>1787</c:v>
                </c:pt>
                <c:pt idx="8">
                  <c:v>1714</c:v>
                </c:pt>
                <c:pt idx="9">
                  <c:v>90</c:v>
                </c:pt>
                <c:pt idx="10">
                  <c:v>17</c:v>
                </c:pt>
              </c:numCache>
            </c:numRef>
          </c:val>
          <c:extLst>
            <c:ext xmlns:c16="http://schemas.microsoft.com/office/drawing/2014/chart" uri="{C3380CC4-5D6E-409C-BE32-E72D297353CC}">
              <c16:uniqueId val="{00000000-DF82-4D21-A33F-113C2ECA8814}"/>
            </c:ext>
          </c:extLst>
        </c:ser>
        <c:dLbls>
          <c:showLegendKey val="0"/>
          <c:showVal val="0"/>
          <c:showCatName val="0"/>
          <c:showSerName val="0"/>
          <c:showPercent val="0"/>
          <c:showBubbleSize val="0"/>
        </c:dLbls>
        <c:gapWidth val="150"/>
        <c:overlap val="100"/>
        <c:axId val="4599599"/>
        <c:axId val="1869137904"/>
        <c:extLst>
          <c:ext xmlns:c15="http://schemas.microsoft.com/office/drawing/2012/chart" uri="{02D57815-91ED-43cb-92C2-25804820EDAC}">
            <c15:filteredBarSeries>
              <c15:ser>
                <c:idx val="0"/>
                <c:order val="0"/>
                <c:tx>
                  <c:strRef>
                    <c:extLst>
                      <c:ext uri="{02D57815-91ED-43cb-92C2-25804820EDAC}">
                        <c15:formulaRef>
                          <c15:sqref>Analyst!$B$3</c15:sqref>
                        </c15:formulaRef>
                      </c:ext>
                    </c:extLst>
                    <c:strCache>
                      <c:ptCount val="1"/>
                      <c:pt idx="0">
                        <c:v>Post Count</c:v>
                      </c:pt>
                    </c:strCache>
                  </c:strRef>
                </c:tx>
                <c:spPr>
                  <a:solidFill>
                    <a:schemeClr val="accent1">
                      <a:shade val="53000"/>
                    </a:schemeClr>
                  </a:solidFill>
                  <a:ln>
                    <a:noFill/>
                  </a:ln>
                  <a:effectLst/>
                </c:spPr>
                <c:invertIfNegative val="0"/>
                <c:dLbls>
                  <c:spPr>
                    <a:solidFill>
                      <a:schemeClr val="dk1">
                        <a:lumMod val="15000"/>
                        <a:lumOff val="85000"/>
                      </a:schemeClr>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1"/>
                  <c:showSerName val="0"/>
                  <c:showPercent val="0"/>
                  <c:showBubbleSize val="0"/>
                  <c:showLeaderLines val="0"/>
                  <c:extLst>
                    <c:ext uri="{CE6537A1-D6FC-4f65-9D91-7224C49458BB}">
                      <c15:spPr xmlns:c15="http://schemas.microsoft.com/office/drawing/2012/chart">
                        <a:prstGeom prst="wedgeRectCallout">
                          <a:avLst/>
                        </a:prstGeom>
                        <a:noFill/>
                        <a:ln>
                          <a:noFill/>
                        </a:ln>
                      </c15:spPr>
                      <c15:showLeaderLines val="0"/>
                    </c:ext>
                  </c:extLst>
                </c:dLbls>
                <c:cat>
                  <c:strRef>
                    <c:extLst>
                      <c:ext uri="{02D57815-91ED-43cb-92C2-25804820EDAC}">
                        <c15:formulaRef>
                          <c15:sqref>Analyst!$A$4:$A$14</c15:sqref>
                        </c15:formulaRef>
                      </c:ext>
                    </c:extLst>
                    <c:strCache>
                      <c:ptCount val="11"/>
                      <c:pt idx="0">
                        <c:v>Fraud &amp; scams</c:v>
                      </c:pt>
                      <c:pt idx="1">
                        <c:v>Financial wellbeing</c:v>
                      </c:pt>
                      <c:pt idx="2">
                        <c:v>Security education</c:v>
                      </c:pt>
                      <c:pt idx="3">
                        <c:v>Digital banking</c:v>
                      </c:pt>
                      <c:pt idx="4">
                        <c:v>Card services</c:v>
                      </c:pt>
                      <c:pt idx="5">
                        <c:v>Community</c:v>
                      </c:pt>
                      <c:pt idx="6">
                        <c:v>Business banking</c:v>
                      </c:pt>
                      <c:pt idx="7">
                        <c:v>Sustainability</c:v>
                      </c:pt>
                      <c:pt idx="8">
                        <c:v>Outage/service issue</c:v>
                      </c:pt>
                      <c:pt idx="9">
                        <c:v>Branch/ATM</c:v>
                      </c:pt>
                      <c:pt idx="10">
                        <c:v>Customer support</c:v>
                      </c:pt>
                    </c:strCache>
                  </c:strRef>
                </c:cat>
                <c:val>
                  <c:numRef>
                    <c:extLst>
                      <c:ext uri="{02D57815-91ED-43cb-92C2-25804820EDAC}">
                        <c15:formulaRef>
                          <c15:sqref>Analyst!$B$4:$B$14</c15:sqref>
                        </c15:formulaRef>
                      </c:ext>
                    </c:extLst>
                    <c:numCache>
                      <c:formatCode>General</c:formatCode>
                      <c:ptCount val="11"/>
                      <c:pt idx="0">
                        <c:v>11</c:v>
                      </c:pt>
                      <c:pt idx="1">
                        <c:v>9</c:v>
                      </c:pt>
                      <c:pt idx="2">
                        <c:v>5</c:v>
                      </c:pt>
                      <c:pt idx="3">
                        <c:v>13</c:v>
                      </c:pt>
                      <c:pt idx="4">
                        <c:v>4</c:v>
                      </c:pt>
                      <c:pt idx="5">
                        <c:v>4</c:v>
                      </c:pt>
                      <c:pt idx="6">
                        <c:v>3</c:v>
                      </c:pt>
                      <c:pt idx="7">
                        <c:v>2</c:v>
                      </c:pt>
                      <c:pt idx="8">
                        <c:v>5</c:v>
                      </c:pt>
                      <c:pt idx="9">
                        <c:v>3</c:v>
                      </c:pt>
                      <c:pt idx="10">
                        <c:v>1</c:v>
                      </c:pt>
                    </c:numCache>
                  </c:numRef>
                </c:val>
                <c:extLst>
                  <c:ext xmlns:c16="http://schemas.microsoft.com/office/drawing/2014/chart" uri="{C3380CC4-5D6E-409C-BE32-E72D297353CC}">
                    <c16:uniqueId val="{00000001-DF82-4D21-A33F-113C2ECA8814}"/>
                  </c:ext>
                </c:extLst>
              </c15:ser>
            </c15:filteredBarSeries>
            <c15:filteredBarSeries>
              <c15:ser>
                <c:idx val="2"/>
                <c:order val="2"/>
                <c:tx>
                  <c:strRef>
                    <c:extLst xmlns:c15="http://schemas.microsoft.com/office/drawing/2012/chart">
                      <c:ext xmlns:c15="http://schemas.microsoft.com/office/drawing/2012/chart" uri="{02D57815-91ED-43cb-92C2-25804820EDAC}">
                        <c15:formulaRef>
                          <c15:sqref>Analyst!$D$3</c15:sqref>
                        </c15:formulaRef>
                      </c:ext>
                    </c:extLst>
                    <c:strCache>
                      <c:ptCount val="1"/>
                      <c:pt idx="0">
                        <c:v>Total Views</c:v>
                      </c:pt>
                    </c:strCache>
                  </c:strRef>
                </c:tx>
                <c:spPr>
                  <a:solidFill>
                    <a:schemeClr val="accent1"/>
                  </a:solidFill>
                  <a:ln>
                    <a:noFill/>
                  </a:ln>
                  <a:effectLst/>
                </c:spPr>
                <c:invertIfNegative val="0"/>
                <c:dLbls>
                  <c:spPr>
                    <a:solidFill>
                      <a:schemeClr val="dk1">
                        <a:lumMod val="15000"/>
                        <a:lumOff val="85000"/>
                      </a:schemeClr>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1"/>
                  <c:showSerName val="0"/>
                  <c:showPercent val="0"/>
                  <c:showBubbleSize val="0"/>
                  <c:showLeaderLines val="0"/>
                  <c:extLst xmlns:c15="http://schemas.microsoft.com/office/drawing/2012/char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extLst xmlns:c15="http://schemas.microsoft.com/office/drawing/2012/chart">
                      <c:ext xmlns:c15="http://schemas.microsoft.com/office/drawing/2012/chart" uri="{02D57815-91ED-43cb-92C2-25804820EDAC}">
                        <c15:formulaRef>
                          <c15:sqref>Analyst!$A$4:$A$14</c15:sqref>
                        </c15:formulaRef>
                      </c:ext>
                    </c:extLst>
                    <c:strCache>
                      <c:ptCount val="11"/>
                      <c:pt idx="0">
                        <c:v>Fraud &amp; scams</c:v>
                      </c:pt>
                      <c:pt idx="1">
                        <c:v>Financial wellbeing</c:v>
                      </c:pt>
                      <c:pt idx="2">
                        <c:v>Security education</c:v>
                      </c:pt>
                      <c:pt idx="3">
                        <c:v>Digital banking</c:v>
                      </c:pt>
                      <c:pt idx="4">
                        <c:v>Card services</c:v>
                      </c:pt>
                      <c:pt idx="5">
                        <c:v>Community</c:v>
                      </c:pt>
                      <c:pt idx="6">
                        <c:v>Business banking</c:v>
                      </c:pt>
                      <c:pt idx="7">
                        <c:v>Sustainability</c:v>
                      </c:pt>
                      <c:pt idx="8">
                        <c:v>Outage/service issue</c:v>
                      </c:pt>
                      <c:pt idx="9">
                        <c:v>Branch/ATM</c:v>
                      </c:pt>
                      <c:pt idx="10">
                        <c:v>Customer support</c:v>
                      </c:pt>
                    </c:strCache>
                  </c:strRef>
                </c:cat>
                <c:val>
                  <c:numRef>
                    <c:extLst xmlns:c15="http://schemas.microsoft.com/office/drawing/2012/chart">
                      <c:ext xmlns:c15="http://schemas.microsoft.com/office/drawing/2012/chart" uri="{02D57815-91ED-43cb-92C2-25804820EDAC}">
                        <c15:formulaRef>
                          <c15:sqref>Analyst!$D$4:$D$14</c15:sqref>
                        </c15:formulaRef>
                      </c:ext>
                    </c:extLst>
                    <c:numCache>
                      <c:formatCode>General</c:formatCode>
                      <c:ptCount val="11"/>
                      <c:pt idx="0">
                        <c:v>680750</c:v>
                      </c:pt>
                      <c:pt idx="1">
                        <c:v>513500</c:v>
                      </c:pt>
                      <c:pt idx="2">
                        <c:v>439800</c:v>
                      </c:pt>
                      <c:pt idx="3">
                        <c:v>540300</c:v>
                      </c:pt>
                      <c:pt idx="4">
                        <c:v>192450</c:v>
                      </c:pt>
                      <c:pt idx="5">
                        <c:v>238100</c:v>
                      </c:pt>
                      <c:pt idx="6">
                        <c:v>59900</c:v>
                      </c:pt>
                      <c:pt idx="7">
                        <c:v>101400</c:v>
                      </c:pt>
                      <c:pt idx="8">
                        <c:v>132140</c:v>
                      </c:pt>
                      <c:pt idx="9">
                        <c:v>5750</c:v>
                      </c:pt>
                      <c:pt idx="10">
                        <c:v>2100</c:v>
                      </c:pt>
                    </c:numCache>
                  </c:numRef>
                </c:val>
                <c:extLst>
                  <c:ext xmlns:c16="http://schemas.microsoft.com/office/drawing/2014/chart" uri="{C3380CC4-5D6E-409C-BE32-E72D297353CC}">
                    <c16:uniqueId val="{00000002-DF82-4D21-A33F-113C2ECA8814}"/>
                  </c:ext>
                </c:extLst>
              </c15:ser>
            </c15:filteredBarSeries>
            <c15:filteredBarSeries>
              <c15:ser>
                <c:idx val="3"/>
                <c:order val="3"/>
                <c:tx>
                  <c:strRef>
                    <c:extLst xmlns:c15="http://schemas.microsoft.com/office/drawing/2012/chart">
                      <c:ext xmlns:c15="http://schemas.microsoft.com/office/drawing/2012/chart" uri="{02D57815-91ED-43cb-92C2-25804820EDAC}">
                        <c15:formulaRef>
                          <c15:sqref>Analyst!$E$3</c15:sqref>
                        </c15:formulaRef>
                      </c:ext>
                    </c:extLst>
                    <c:strCache>
                      <c:ptCount val="1"/>
                      <c:pt idx="0">
                        <c:v>Weighted Engagement Rate</c:v>
                      </c:pt>
                    </c:strCache>
                  </c:strRef>
                </c:tx>
                <c:spPr>
                  <a:solidFill>
                    <a:schemeClr val="accent1">
                      <a:tint val="77000"/>
                    </a:schemeClr>
                  </a:solidFill>
                  <a:ln>
                    <a:noFill/>
                  </a:ln>
                  <a:effectLst/>
                </c:spPr>
                <c:invertIfNegative val="0"/>
                <c:dLbls>
                  <c:spPr>
                    <a:solidFill>
                      <a:schemeClr val="dk1">
                        <a:lumMod val="15000"/>
                        <a:lumOff val="85000"/>
                      </a:schemeClr>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1"/>
                  <c:showSerName val="0"/>
                  <c:showPercent val="0"/>
                  <c:showBubbleSize val="0"/>
                  <c:showLeaderLines val="0"/>
                  <c:extLst xmlns:c15="http://schemas.microsoft.com/office/drawing/2012/char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extLst xmlns:c15="http://schemas.microsoft.com/office/drawing/2012/chart">
                      <c:ext xmlns:c15="http://schemas.microsoft.com/office/drawing/2012/chart" uri="{02D57815-91ED-43cb-92C2-25804820EDAC}">
                        <c15:formulaRef>
                          <c15:sqref>Analyst!$A$4:$A$14</c15:sqref>
                        </c15:formulaRef>
                      </c:ext>
                    </c:extLst>
                    <c:strCache>
                      <c:ptCount val="11"/>
                      <c:pt idx="0">
                        <c:v>Fraud &amp; scams</c:v>
                      </c:pt>
                      <c:pt idx="1">
                        <c:v>Financial wellbeing</c:v>
                      </c:pt>
                      <c:pt idx="2">
                        <c:v>Security education</c:v>
                      </c:pt>
                      <c:pt idx="3">
                        <c:v>Digital banking</c:v>
                      </c:pt>
                      <c:pt idx="4">
                        <c:v>Card services</c:v>
                      </c:pt>
                      <c:pt idx="5">
                        <c:v>Community</c:v>
                      </c:pt>
                      <c:pt idx="6">
                        <c:v>Business banking</c:v>
                      </c:pt>
                      <c:pt idx="7">
                        <c:v>Sustainability</c:v>
                      </c:pt>
                      <c:pt idx="8">
                        <c:v>Outage/service issue</c:v>
                      </c:pt>
                      <c:pt idx="9">
                        <c:v>Branch/ATM</c:v>
                      </c:pt>
                      <c:pt idx="10">
                        <c:v>Customer support</c:v>
                      </c:pt>
                    </c:strCache>
                  </c:strRef>
                </c:cat>
                <c:val>
                  <c:numRef>
                    <c:extLst xmlns:c15="http://schemas.microsoft.com/office/drawing/2012/chart">
                      <c:ext xmlns:c15="http://schemas.microsoft.com/office/drawing/2012/chart" uri="{02D57815-91ED-43cb-92C2-25804820EDAC}">
                        <c15:formulaRef>
                          <c15:sqref>Analyst!$E$4:$E$14</c15:sqref>
                        </c15:formulaRef>
                      </c:ext>
                    </c:extLst>
                    <c:numCache>
                      <c:formatCode>0.0%</c:formatCode>
                      <c:ptCount val="11"/>
                      <c:pt idx="0">
                        <c:v>5.3298567756151306E-2</c:v>
                      </c:pt>
                      <c:pt idx="1">
                        <c:v>4.539240506329114E-2</c:v>
                      </c:pt>
                      <c:pt idx="2">
                        <c:v>5.0841291496134609E-2</c:v>
                      </c:pt>
                      <c:pt idx="3">
                        <c:v>3.9193040903201921E-2</c:v>
                      </c:pt>
                      <c:pt idx="4">
                        <c:v>4.314367368147571E-2</c:v>
                      </c:pt>
                      <c:pt idx="5">
                        <c:v>3.477110457790844E-2</c:v>
                      </c:pt>
                      <c:pt idx="6">
                        <c:v>4.4590984974958267E-2</c:v>
                      </c:pt>
                      <c:pt idx="7">
                        <c:v>1.7623274161735699E-2</c:v>
                      </c:pt>
                      <c:pt idx="8">
                        <c:v>1.2971091266838201E-2</c:v>
                      </c:pt>
                      <c:pt idx="9">
                        <c:v>1.5652173913043479E-2</c:v>
                      </c:pt>
                      <c:pt idx="10">
                        <c:v>8.0952380952380946E-3</c:v>
                      </c:pt>
                    </c:numCache>
                  </c:numRef>
                </c:val>
                <c:extLst>
                  <c:ext xmlns:c16="http://schemas.microsoft.com/office/drawing/2014/chart" uri="{C3380CC4-5D6E-409C-BE32-E72D297353CC}">
                    <c16:uniqueId val="{00000003-DF82-4D21-A33F-113C2ECA8814}"/>
                  </c:ext>
                </c:extLst>
              </c15:ser>
            </c15:filteredBarSeries>
            <c15:filteredBarSeries>
              <c15:ser>
                <c:idx val="4"/>
                <c:order val="4"/>
                <c:tx>
                  <c:strRef>
                    <c:extLst xmlns:c15="http://schemas.microsoft.com/office/drawing/2012/chart">
                      <c:ext xmlns:c15="http://schemas.microsoft.com/office/drawing/2012/chart" uri="{02D57815-91ED-43cb-92C2-25804820EDAC}">
                        <c15:formulaRef>
                          <c15:sqref>Analyst!$F$3</c15:sqref>
                        </c15:formulaRef>
                      </c:ext>
                    </c:extLst>
                    <c:strCache>
                      <c:ptCount val="1"/>
                      <c:pt idx="0">
                        <c:v>Average Sentiment Score</c:v>
                      </c:pt>
                    </c:strCache>
                  </c:strRef>
                </c:tx>
                <c:spPr>
                  <a:solidFill>
                    <a:schemeClr val="accent1">
                      <a:tint val="54000"/>
                    </a:schemeClr>
                  </a:solidFill>
                  <a:ln>
                    <a:noFill/>
                  </a:ln>
                  <a:effectLst/>
                </c:spPr>
                <c:invertIfNegative val="0"/>
                <c:dLbls>
                  <c:spPr>
                    <a:solidFill>
                      <a:schemeClr val="dk1">
                        <a:lumMod val="15000"/>
                        <a:lumOff val="85000"/>
                      </a:schemeClr>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1"/>
                  <c:showSerName val="0"/>
                  <c:showPercent val="0"/>
                  <c:showBubbleSize val="0"/>
                  <c:showLeaderLines val="0"/>
                  <c:extLst xmlns:c15="http://schemas.microsoft.com/office/drawing/2012/char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extLst xmlns:c15="http://schemas.microsoft.com/office/drawing/2012/chart">
                      <c:ext xmlns:c15="http://schemas.microsoft.com/office/drawing/2012/chart" uri="{02D57815-91ED-43cb-92C2-25804820EDAC}">
                        <c15:formulaRef>
                          <c15:sqref>Analyst!$A$4:$A$14</c15:sqref>
                        </c15:formulaRef>
                      </c:ext>
                    </c:extLst>
                    <c:strCache>
                      <c:ptCount val="11"/>
                      <c:pt idx="0">
                        <c:v>Fraud &amp; scams</c:v>
                      </c:pt>
                      <c:pt idx="1">
                        <c:v>Financial wellbeing</c:v>
                      </c:pt>
                      <c:pt idx="2">
                        <c:v>Security education</c:v>
                      </c:pt>
                      <c:pt idx="3">
                        <c:v>Digital banking</c:v>
                      </c:pt>
                      <c:pt idx="4">
                        <c:v>Card services</c:v>
                      </c:pt>
                      <c:pt idx="5">
                        <c:v>Community</c:v>
                      </c:pt>
                      <c:pt idx="6">
                        <c:v>Business banking</c:v>
                      </c:pt>
                      <c:pt idx="7">
                        <c:v>Sustainability</c:v>
                      </c:pt>
                      <c:pt idx="8">
                        <c:v>Outage/service issue</c:v>
                      </c:pt>
                      <c:pt idx="9">
                        <c:v>Branch/ATM</c:v>
                      </c:pt>
                      <c:pt idx="10">
                        <c:v>Customer support</c:v>
                      </c:pt>
                    </c:strCache>
                  </c:strRef>
                </c:cat>
                <c:val>
                  <c:numRef>
                    <c:extLst xmlns:c15="http://schemas.microsoft.com/office/drawing/2012/chart">
                      <c:ext xmlns:c15="http://schemas.microsoft.com/office/drawing/2012/chart" uri="{02D57815-91ED-43cb-92C2-25804820EDAC}">
                        <c15:formulaRef>
                          <c15:sqref>Analyst!$F$4:$F$14</c15:sqref>
                        </c15:formulaRef>
                      </c:ext>
                    </c:extLst>
                    <c:numCache>
                      <c:formatCode>0.00</c:formatCode>
                      <c:ptCount val="11"/>
                      <c:pt idx="0">
                        <c:v>0.21454545454545454</c:v>
                      </c:pt>
                      <c:pt idx="1">
                        <c:v>0.38777777777777778</c:v>
                      </c:pt>
                      <c:pt idx="2">
                        <c:v>0.35200000000000004</c:v>
                      </c:pt>
                      <c:pt idx="3">
                        <c:v>2.1538461538461558E-2</c:v>
                      </c:pt>
                      <c:pt idx="4">
                        <c:v>0.375</c:v>
                      </c:pt>
                      <c:pt idx="5">
                        <c:v>0.7649999999999999</c:v>
                      </c:pt>
                      <c:pt idx="6">
                        <c:v>0.4466666666666666</c:v>
                      </c:pt>
                      <c:pt idx="7">
                        <c:v>0.17</c:v>
                      </c:pt>
                      <c:pt idx="8">
                        <c:v>-0.2</c:v>
                      </c:pt>
                      <c:pt idx="9">
                        <c:v>-0.6333333333333333</c:v>
                      </c:pt>
                      <c:pt idx="10">
                        <c:v>0.05</c:v>
                      </c:pt>
                    </c:numCache>
                  </c:numRef>
                </c:val>
                <c:extLst>
                  <c:ext xmlns:c16="http://schemas.microsoft.com/office/drawing/2014/chart" uri="{C3380CC4-5D6E-409C-BE32-E72D297353CC}">
                    <c16:uniqueId val="{00000004-DF82-4D21-A33F-113C2ECA8814}"/>
                  </c:ext>
                </c:extLst>
              </c15:ser>
            </c15:filteredBarSeries>
          </c:ext>
        </c:extLst>
      </c:barChart>
      <c:catAx>
        <c:axId val="45995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1869137904"/>
        <c:crosses val="autoZero"/>
        <c:auto val="1"/>
        <c:lblAlgn val="ctr"/>
        <c:lblOffset val="100"/>
        <c:noMultiLvlLbl val="0"/>
      </c:catAx>
      <c:valAx>
        <c:axId val="1869137904"/>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99599"/>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D"/>
              <a:t>Total Engagements by Day of week</a:t>
            </a:r>
          </a:p>
        </c:rich>
      </c:tx>
      <c:layout>
        <c:manualLayout>
          <c:xMode val="edge"/>
          <c:yMode val="edge"/>
          <c:x val="0.20277661069717534"/>
          <c:y val="2.572347266881028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Analyst!$C$48</c:f>
              <c:strCache>
                <c:ptCount val="1"/>
                <c:pt idx="0">
                  <c:v>Total Engagements</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Analyst!$A$49:$A$55</c:f>
              <c:strCache>
                <c:ptCount val="7"/>
                <c:pt idx="0">
                  <c:v>Monday</c:v>
                </c:pt>
                <c:pt idx="1">
                  <c:v>Tuesday</c:v>
                </c:pt>
                <c:pt idx="2">
                  <c:v>Wednesday</c:v>
                </c:pt>
                <c:pt idx="3">
                  <c:v>Thursday</c:v>
                </c:pt>
                <c:pt idx="4">
                  <c:v>Friday</c:v>
                </c:pt>
                <c:pt idx="5">
                  <c:v>Saturday</c:v>
                </c:pt>
                <c:pt idx="6">
                  <c:v>Sunday</c:v>
                </c:pt>
              </c:strCache>
            </c:strRef>
          </c:cat>
          <c:val>
            <c:numRef>
              <c:f>Analyst!$C$49:$C$55</c:f>
              <c:numCache>
                <c:formatCode>General</c:formatCode>
                <c:ptCount val="7"/>
                <c:pt idx="0">
                  <c:v>7905</c:v>
                </c:pt>
                <c:pt idx="1">
                  <c:v>32955</c:v>
                </c:pt>
                <c:pt idx="2">
                  <c:v>25565</c:v>
                </c:pt>
                <c:pt idx="3">
                  <c:v>15892</c:v>
                </c:pt>
                <c:pt idx="4">
                  <c:v>15011</c:v>
                </c:pt>
                <c:pt idx="5">
                  <c:v>5999</c:v>
                </c:pt>
                <c:pt idx="6">
                  <c:v>22662</c:v>
                </c:pt>
              </c:numCache>
            </c:numRef>
          </c:val>
          <c:smooth val="0"/>
          <c:extLst>
            <c:ext xmlns:c16="http://schemas.microsoft.com/office/drawing/2014/chart" uri="{C3380CC4-5D6E-409C-BE32-E72D297353CC}">
              <c16:uniqueId val="{00000000-0196-47FF-A2B4-46FF7073A5DC}"/>
            </c:ext>
          </c:extLst>
        </c:ser>
        <c:dLbls>
          <c:showLegendKey val="0"/>
          <c:showVal val="0"/>
          <c:showCatName val="0"/>
          <c:showSerName val="0"/>
          <c:showPercent val="0"/>
          <c:showBubbleSize val="0"/>
        </c:dLbls>
        <c:marker val="1"/>
        <c:smooth val="0"/>
        <c:axId val="1955923824"/>
        <c:axId val="1869189264"/>
      </c:lineChart>
      <c:catAx>
        <c:axId val="19559238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9189264"/>
        <c:crosses val="autoZero"/>
        <c:auto val="1"/>
        <c:lblAlgn val="ctr"/>
        <c:lblOffset val="100"/>
        <c:noMultiLvlLbl val="0"/>
      </c:catAx>
      <c:valAx>
        <c:axId val="18691892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59238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Weighted Engagement Rate of Content Format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Analyst!$E$70</c:f>
              <c:strCache>
                <c:ptCount val="1"/>
                <c:pt idx="0">
                  <c:v>Weighted Engagement Rate</c:v>
                </c:pt>
              </c:strCache>
            </c:strRef>
          </c:tx>
          <c:spPr>
            <a:solidFill>
              <a:schemeClr val="tx2"/>
            </a:solidFill>
            <a:ln>
              <a:noFill/>
            </a:ln>
            <a:effectLst/>
          </c:spPr>
          <c:invertIfNegative val="0"/>
          <c:cat>
            <c:strRef>
              <c:f>Analyst!$A$71:$A$74</c:f>
              <c:strCache>
                <c:ptCount val="4"/>
                <c:pt idx="0">
                  <c:v>Text</c:v>
                </c:pt>
                <c:pt idx="1">
                  <c:v>Text + image</c:v>
                </c:pt>
                <c:pt idx="2">
                  <c:v>Text + video</c:v>
                </c:pt>
                <c:pt idx="3">
                  <c:v>Link</c:v>
                </c:pt>
              </c:strCache>
            </c:strRef>
          </c:cat>
          <c:val>
            <c:numRef>
              <c:f>Analyst!$E$71:$E$74</c:f>
              <c:numCache>
                <c:formatCode>0.0%</c:formatCode>
                <c:ptCount val="4"/>
                <c:pt idx="0">
                  <c:v>1.4374127325559455E-2</c:v>
                </c:pt>
                <c:pt idx="1">
                  <c:v>4.6128403445890712E-2</c:v>
                </c:pt>
                <c:pt idx="2">
                  <c:v>5.1687022900763359E-2</c:v>
                </c:pt>
                <c:pt idx="3">
                  <c:v>4.1256405390017084E-2</c:v>
                </c:pt>
              </c:numCache>
            </c:numRef>
          </c:val>
          <c:extLst>
            <c:ext xmlns:c16="http://schemas.microsoft.com/office/drawing/2014/chart" uri="{C3380CC4-5D6E-409C-BE32-E72D297353CC}">
              <c16:uniqueId val="{00000000-4B48-450F-BE20-410CFF0E67A2}"/>
            </c:ext>
          </c:extLst>
        </c:ser>
        <c:dLbls>
          <c:showLegendKey val="0"/>
          <c:showVal val="0"/>
          <c:showCatName val="0"/>
          <c:showSerName val="0"/>
          <c:showPercent val="0"/>
          <c:showBubbleSize val="0"/>
        </c:dLbls>
        <c:gapWidth val="182"/>
        <c:axId val="4603775"/>
        <c:axId val="1869215184"/>
      </c:barChart>
      <c:catAx>
        <c:axId val="460377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9215184"/>
        <c:crosses val="autoZero"/>
        <c:auto val="1"/>
        <c:lblAlgn val="ctr"/>
        <c:lblOffset val="100"/>
        <c:noMultiLvlLbl val="0"/>
      </c:catAx>
      <c:valAx>
        <c:axId val="1869215184"/>
        <c:scaling>
          <c:orientation val="minMax"/>
        </c:scaling>
        <c:delete val="0"/>
        <c:axPos val="b"/>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03775"/>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withinLinear" id="14">
  <a:schemeClr val="accent1"/>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06">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6</xdr:col>
      <xdr:colOff>323850</xdr:colOff>
      <xdr:row>1</xdr:row>
      <xdr:rowOff>133349</xdr:rowOff>
    </xdr:from>
    <xdr:to>
      <xdr:col>13</xdr:col>
      <xdr:colOff>66675</xdr:colOff>
      <xdr:row>27</xdr:row>
      <xdr:rowOff>95250</xdr:rowOff>
    </xdr:to>
    <xdr:sp macro="" textlink="">
      <xdr:nvSpPr>
        <xdr:cNvPr id="15" name="TextBox 14">
          <a:extLst>
            <a:ext uri="{FF2B5EF4-FFF2-40B4-BE49-F238E27FC236}">
              <a16:creationId xmlns:a16="http://schemas.microsoft.com/office/drawing/2014/main" id="{7168C389-33DF-D1C9-2EAC-1AFEEE2A6D27}"/>
            </a:ext>
          </a:extLst>
        </xdr:cNvPr>
        <xdr:cNvSpPr txBox="1"/>
      </xdr:nvSpPr>
      <xdr:spPr>
        <a:xfrm>
          <a:off x="6353175" y="314324"/>
          <a:ext cx="5905500" cy="502920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D" sz="1400" b="1" i="0" u="none" strike="noStrike">
              <a:solidFill>
                <a:schemeClr val="dk1"/>
              </a:solidFill>
              <a:effectLst/>
              <a:latin typeface="+mn-lt"/>
              <a:ea typeface="+mn-ea"/>
              <a:cs typeface="+mn-cs"/>
            </a:rPr>
            <a:t>Key Takeaways</a:t>
          </a:r>
          <a:r>
            <a:rPr lang="en-ID" sz="1400">
              <a:effectLst/>
            </a:rPr>
            <a:t> :</a:t>
          </a:r>
        </a:p>
        <a:p>
          <a:pPr lvl="1"/>
          <a:r>
            <a:rPr lang="en-ID" sz="1200" b="0" i="0" u="none" strike="noStrike">
              <a:solidFill>
                <a:schemeClr val="dk1"/>
              </a:solidFill>
              <a:effectLst/>
              <a:latin typeface="+mn-lt"/>
              <a:ea typeface="+mn-ea"/>
              <a:cs typeface="+mn-cs"/>
            </a:rPr>
            <a:t>1. Digital banking is posted about most often (13 posts), but ranks only 4th in total engagement (21,176) — well behind Fraud &amp; scams (36,283 from just 11 posts). Posting volume does not translate directly into engagement.</a:t>
          </a:r>
          <a:r>
            <a:rPr lang="en-ID" sz="1200">
              <a:effectLst/>
            </a:rPr>
            <a:t> </a:t>
          </a:r>
        </a:p>
        <a:p>
          <a:pPr lvl="1"/>
          <a:r>
            <a:rPr lang="en-ID" sz="1200" b="0" i="0" u="none" strike="noStrike">
              <a:solidFill>
                <a:schemeClr val="dk1"/>
              </a:solidFill>
              <a:effectLst/>
              <a:latin typeface="+mn-lt"/>
              <a:ea typeface="+mn-ea"/>
              <a:cs typeface="+mn-cs"/>
            </a:rPr>
            <a:t>2. Branch/ATM has the lowest total engagement (90, from 3 posts) and the most negative average sentiment (-0.63) — a concentrated, underperforming pain point worth prioritizing.</a:t>
          </a:r>
          <a:r>
            <a:rPr lang="en-ID" sz="1200">
              <a:effectLst/>
            </a:rPr>
            <a:t> </a:t>
          </a:r>
        </a:p>
        <a:p>
          <a:pPr lvl="1"/>
          <a:r>
            <a:rPr lang="en-ID" sz="1200" b="0" i="0" u="none" strike="noStrike">
              <a:solidFill>
                <a:schemeClr val="dk1"/>
              </a:solidFill>
              <a:effectLst/>
              <a:latin typeface="+mn-lt"/>
              <a:ea typeface="+mn-ea"/>
              <a:cs typeface="+mn-cs"/>
            </a:rPr>
            <a:t>3. Branch/ATM and Community sit at opposite sentiment extremes: 100% of Branch/ATM posts are negative, while 100% of Community posts are positive.</a:t>
          </a:r>
          <a:r>
            <a:rPr lang="en-ID" sz="1200">
              <a:effectLst/>
            </a:rPr>
            <a:t> </a:t>
          </a:r>
        </a:p>
        <a:p>
          <a:pPr lvl="1"/>
          <a:r>
            <a:rPr lang="en-ID" sz="1200" b="0" i="0" u="none" strike="noStrike">
              <a:solidFill>
                <a:schemeClr val="dk1"/>
              </a:solidFill>
              <a:effectLst/>
              <a:latin typeface="+mn-lt"/>
              <a:ea typeface="+mn-ea"/>
              <a:cs typeface="+mn-cs"/>
            </a:rPr>
            <a:t>4. Digital banking has the most evenly-split sentiment distribution of any topic (positive, neutral, negative, and mixed all represented) — the most polarizing topic in the dataset.</a:t>
          </a:r>
          <a:r>
            <a:rPr lang="en-ID" sz="1200">
              <a:effectLst/>
            </a:rPr>
            <a:t> </a:t>
          </a:r>
        </a:p>
        <a:p>
          <a:pPr lvl="1"/>
          <a:r>
            <a:rPr lang="en-ID" sz="1200" b="0" i="0" u="none" strike="noStrike">
              <a:solidFill>
                <a:schemeClr val="dk1"/>
              </a:solidFill>
              <a:effectLst/>
              <a:latin typeface="+mn-lt"/>
              <a:ea typeface="+mn-ea"/>
              <a:cs typeface="+mn-cs"/>
            </a:rPr>
            <a:t>5. Branch/ATM (100%) and Outage/service issue (40%) account for the largest share of posts requiring a response, pointing to concentrated operational pain points.</a:t>
          </a:r>
          <a:r>
            <a:rPr lang="en-ID" sz="1200">
              <a:effectLst/>
            </a:rPr>
            <a:t> </a:t>
          </a:r>
        </a:p>
        <a:p>
          <a:pPr lvl="1"/>
          <a:r>
            <a:rPr lang="en-ID" sz="1200" b="0" i="0" u="none" strike="noStrike">
              <a:solidFill>
                <a:schemeClr val="dk1"/>
              </a:solidFill>
              <a:effectLst/>
              <a:latin typeface="+mn-lt"/>
              <a:ea typeface="+mn-ea"/>
              <a:cs typeface="+mn-cs"/>
            </a:rPr>
            <a:t>6. Tuesday has both the highest post volume (11) and the highest total engagement (32,955) — the most active day overall.</a:t>
          </a:r>
          <a:r>
            <a:rPr lang="en-ID" sz="1200">
              <a:effectLst/>
            </a:rPr>
            <a:t> </a:t>
          </a:r>
        </a:p>
        <a:p>
          <a:pPr lvl="1"/>
          <a:r>
            <a:rPr lang="en-ID" sz="1200" b="0" i="0" u="none" strike="noStrike">
              <a:solidFill>
                <a:schemeClr val="dk1"/>
              </a:solidFill>
              <a:effectLst/>
              <a:latin typeface="+mn-lt"/>
              <a:ea typeface="+mn-ea"/>
              <a:cs typeface="+mn-cs"/>
            </a:rPr>
            <a:t>7. Sunday, despite only 7 posts, has the highest average sentiment (0.42) and the second-highest engagement (22,662) — indicating content quality over volume on that day.</a:t>
          </a:r>
          <a:r>
            <a:rPr lang="en-ID" sz="1200">
              <a:effectLst/>
            </a:rPr>
            <a:t> </a:t>
          </a:r>
        </a:p>
        <a:p>
          <a:pPr lvl="1"/>
          <a:r>
            <a:rPr lang="en-ID" sz="1200" b="0" i="0" u="none" strike="noStrike">
              <a:solidFill>
                <a:schemeClr val="dk1"/>
              </a:solidFill>
              <a:effectLst/>
              <a:latin typeface="+mn-lt"/>
              <a:ea typeface="+mn-ea"/>
              <a:cs typeface="+mn-cs"/>
            </a:rPr>
            <a:t>8. Text-only posts make up 60% of total volume (36 posts) but only ~3% of total engagement and the lowest weighted engagement rate (1.4%) — the most-used format is also the least effective.</a:t>
          </a:r>
          <a:r>
            <a:rPr lang="en-ID" sz="1200">
              <a:effectLst/>
            </a:rPr>
            <a:t> </a:t>
          </a:r>
        </a:p>
        <a:p>
          <a:pPr lvl="1"/>
          <a:r>
            <a:rPr lang="en-ID" sz="1200" b="0" i="0" u="none" strike="noStrike">
              <a:solidFill>
                <a:schemeClr val="dk1"/>
              </a:solidFill>
              <a:effectLst/>
              <a:latin typeface="+mn-lt"/>
              <a:ea typeface="+mn-ea"/>
              <a:cs typeface="+mn-cs"/>
            </a:rPr>
            <a:t>9. Text + image posts, while only 14 in count, generated 58% of total engagement (73,358) — the most efficient and highest-reach format.</a:t>
          </a:r>
          <a:r>
            <a:rPr lang="en-ID" sz="1200">
              <a:effectLst/>
            </a:rPr>
            <a:t> </a:t>
          </a:r>
        </a:p>
        <a:p>
          <a:pPr lvl="1"/>
          <a:r>
            <a:rPr lang="en-ID" sz="1200" b="0" i="0" u="none" strike="noStrike">
              <a:solidFill>
                <a:schemeClr val="dk1"/>
              </a:solidFill>
              <a:effectLst/>
              <a:latin typeface="+mn-lt"/>
              <a:ea typeface="+mn-ea"/>
              <a:cs typeface="+mn-cs"/>
            </a:rPr>
            <a:t>10. Outage/service issue has the highest share of high-views/low-engagement posts (60%) — this topic gets seen but doesn't convert into interaction</a:t>
          </a:r>
          <a:r>
            <a:rPr lang="en-ID" sz="1200">
              <a:effectLst/>
            </a:rPr>
            <a:t> </a:t>
          </a:r>
        </a:p>
        <a:p>
          <a:endParaRPr lang="en-ID" sz="12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4</xdr:row>
      <xdr:rowOff>0</xdr:rowOff>
    </xdr:from>
    <xdr:to>
      <xdr:col>7</xdr:col>
      <xdr:colOff>552450</xdr:colOff>
      <xdr:row>20</xdr:row>
      <xdr:rowOff>61912</xdr:rowOff>
    </xdr:to>
    <xdr:graphicFrame macro="">
      <xdr:nvGraphicFramePr>
        <xdr:cNvPr id="2" name="Chart 1">
          <a:extLst>
            <a:ext uri="{FF2B5EF4-FFF2-40B4-BE49-F238E27FC236}">
              <a16:creationId xmlns:a16="http://schemas.microsoft.com/office/drawing/2014/main" id="{FA722B57-5065-45F0-8869-81BA54BBF7B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552450</xdr:colOff>
      <xdr:row>3</xdr:row>
      <xdr:rowOff>171449</xdr:rowOff>
    </xdr:from>
    <xdr:to>
      <xdr:col>15</xdr:col>
      <xdr:colOff>28575</xdr:colOff>
      <xdr:row>20</xdr:row>
      <xdr:rowOff>57149</xdr:rowOff>
    </xdr:to>
    <xdr:graphicFrame macro="">
      <xdr:nvGraphicFramePr>
        <xdr:cNvPr id="3" name="Chart 2">
          <a:extLst>
            <a:ext uri="{FF2B5EF4-FFF2-40B4-BE49-F238E27FC236}">
              <a16:creationId xmlns:a16="http://schemas.microsoft.com/office/drawing/2014/main" id="{0A5D76CF-1E9D-442C-8F02-B29A3F57D5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47625</xdr:colOff>
      <xdr:row>4</xdr:row>
      <xdr:rowOff>0</xdr:rowOff>
    </xdr:from>
    <xdr:to>
      <xdr:col>21</xdr:col>
      <xdr:colOff>561975</xdr:colOff>
      <xdr:row>20</xdr:row>
      <xdr:rowOff>38100</xdr:rowOff>
    </xdr:to>
    <xdr:graphicFrame macro="">
      <xdr:nvGraphicFramePr>
        <xdr:cNvPr id="4" name="Chart 3">
          <a:extLst>
            <a:ext uri="{FF2B5EF4-FFF2-40B4-BE49-F238E27FC236}">
              <a16:creationId xmlns:a16="http://schemas.microsoft.com/office/drawing/2014/main" id="{C1BD7E58-610A-493F-ADEB-70DA1072336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SocialMediaPosts" displayName="SocialMediaPosts" ref="A1:Y61">
  <autoFilter ref="A1:Y61" xr:uid="{00000000-000C-0000-FFFF-FFFF00000000}"/>
  <tableColumns count="25">
    <tableColumn id="1" xr3:uid="{00000000-0010-0000-0000-000001000000}" name="post_id"/>
    <tableColumn id="2" xr3:uid="{00000000-0010-0000-0000-000002000000}" name="post_datetime"/>
    <tableColumn id="3" xr3:uid="{00000000-0010-0000-0000-000003000000}" name="post_type"/>
    <tableColumn id="4" xr3:uid="{00000000-0010-0000-0000-000004000000}" name="author_type"/>
    <tableColumn id="5" xr3:uid="{00000000-0010-0000-0000-000005000000}" name="author_follower_bucket"/>
    <tableColumn id="6" xr3:uid="{00000000-0010-0000-0000-000006000000}" name="post_text"/>
    <tableColumn id="7" xr3:uid="{00000000-0010-0000-0000-000007000000}" name="topic"/>
    <tableColumn id="8" xr3:uid="{00000000-0010-0000-0000-000008000000}" name="content_format"/>
    <tableColumn id="9" xr3:uid="{00000000-0010-0000-0000-000009000000}" name="hashtags"/>
    <tableColumn id="10" xr3:uid="{00000000-0010-0000-0000-00000A000000}" name="mentions_commbank"/>
    <tableColumn id="11" xr3:uid="{00000000-0010-0000-0000-00000B000000}" name="sentiment_label"/>
    <tableColumn id="12" xr3:uid="{00000000-0010-0000-0000-00000C000000}" name="sentiment_score"/>
    <tableColumn id="13" xr3:uid="{00000000-0010-0000-0000-00000D000000}" name="likes"/>
    <tableColumn id="14" xr3:uid="{00000000-0010-0000-0000-00000E000000}" name="replies"/>
    <tableColumn id="15" xr3:uid="{00000000-0010-0000-0000-00000F000000}" name="reposts"/>
    <tableColumn id="16" xr3:uid="{00000000-0010-0000-0000-000010000000}" name="quote_posts"/>
    <tableColumn id="17" xr3:uid="{00000000-0010-0000-0000-000011000000}" name="views"/>
    <tableColumn id="18" xr3:uid="{00000000-0010-0000-0000-000012000000}" name="link_clicks"/>
    <tableColumn id="19" xr3:uid="{00000000-0010-0000-0000-000013000000}" name="total_engagements"/>
    <tableColumn id="20" xr3:uid="{00000000-0010-0000-0000-000014000000}" name="engagement_rate"/>
    <tableColumn id="21" xr3:uid="{00000000-0010-0000-0000-000015000000}" name="day_of_week"/>
    <tableColumn id="22" xr3:uid="{00000000-0010-0000-0000-000016000000}" name="customer_intent"/>
    <tableColumn id="23" xr3:uid="{00000000-0010-0000-0000-000017000000}" name="response_needed"/>
    <tableColumn id="24" xr3:uid="{00000000-0010-0000-0000-000018000000}" name="api_field_examples"/>
    <tableColumn id="25" xr3:uid="{06EB7EE5-1F7F-4F7F-9AA3-A1B3C729FCF6}" name="high_views_low_engage" dataDxfId="12">
      <calculatedColumnFormula>IF(AND(Q2&gt;MEDIAN($Q$2:$Q$61), T2&lt;MEDIAN($T$2:$T$61)),"Yes","No")</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DataDictionary" displayName="DataDictionary" ref="A1:D25">
  <tableColumns count="4">
    <tableColumn id="1" xr3:uid="{00000000-0010-0000-0100-000001000000}" name="Column"/>
    <tableColumn id="2" xr3:uid="{00000000-0010-0000-0100-000002000000}" name="Description"/>
    <tableColumn id="3" xr3:uid="{00000000-0010-0000-0100-000003000000}" name="Student use"/>
    <tableColumn id="4" xr3:uid="{00000000-0010-0000-0100-000004000000}" name="X/Twitter API or analytics concept"/>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AnalysisPrompts" displayName="AnalysisPrompts" ref="A1:C9">
  <tableColumns count="3">
    <tableColumn id="1" xr3:uid="{00000000-0010-0000-0200-000001000000}" name="Analysis area"/>
    <tableColumn id="2" xr3:uid="{00000000-0010-0000-0200-000002000000}" name="Question learners can answer with the dataset"/>
    <tableColumn id="3" xr3:uid="{00000000-0010-0000-0200-000003000000}" name="Relevant columns"/>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ResourcesTable" displayName="ResourcesTable" ref="A1:C4">
  <tableColumns count="3">
    <tableColumn id="1" xr3:uid="{00000000-0010-0000-0300-000001000000}" name="Resource"/>
    <tableColumn id="2" xr3:uid="{00000000-0010-0000-0300-000002000000}" name="Use in task"/>
    <tableColumn id="3" xr3:uid="{00000000-0010-0000-0300-000003000000}" name="URL"/>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A9"/>
  <sheetViews>
    <sheetView workbookViewId="0"/>
  </sheetViews>
  <sheetFormatPr defaultRowHeight="14.25"/>
  <cols>
    <col min="1" max="1" width="110" customWidth="1"/>
  </cols>
  <sheetData>
    <row r="1" spans="1:1" ht="30" customHeight="1">
      <c r="A1" s="1" t="s">
        <v>0</v>
      </c>
    </row>
    <row r="2" spans="1:1" ht="15">
      <c r="A2" s="2" t="s">
        <v>1</v>
      </c>
    </row>
    <row r="3" spans="1:1" ht="28.5">
      <c r="A3" s="3" t="s">
        <v>2</v>
      </c>
    </row>
    <row r="4" spans="1:1" ht="15">
      <c r="A4" s="4" t="s">
        <v>3</v>
      </c>
    </row>
    <row r="5" spans="1:1" ht="28.5">
      <c r="A5" s="3" t="s">
        <v>4</v>
      </c>
    </row>
    <row r="6" spans="1:1" ht="15">
      <c r="A6" s="4" t="s">
        <v>5</v>
      </c>
    </row>
    <row r="7" spans="1:1" ht="28.5">
      <c r="A7" s="3" t="s">
        <v>6</v>
      </c>
    </row>
    <row r="8" spans="1:1" ht="15">
      <c r="A8" s="4" t="s">
        <v>7</v>
      </c>
    </row>
    <row r="9" spans="1:1" ht="42.75">
      <c r="A9" s="3" t="s">
        <v>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dimension ref="A1:Y61"/>
  <sheetViews>
    <sheetView topLeftCell="Q1" workbookViewId="0">
      <selection activeCell="V3" sqref="V3"/>
    </sheetView>
  </sheetViews>
  <sheetFormatPr defaultRowHeight="14.25"/>
  <cols>
    <col min="1" max="1" width="12" customWidth="1"/>
    <col min="2" max="5" width="18" customWidth="1"/>
    <col min="6" max="6" width="55" customWidth="1"/>
    <col min="7" max="8" width="20" customWidth="1"/>
    <col min="9" max="9" width="28" customWidth="1"/>
    <col min="10" max="11" width="17" customWidth="1"/>
    <col min="12" max="21" width="14" customWidth="1"/>
    <col min="22" max="23" width="18" customWidth="1"/>
    <col min="24" max="24" width="38" customWidth="1"/>
  </cols>
  <sheetData>
    <row r="1" spans="1:25" ht="30">
      <c r="A1" s="5" t="s">
        <v>9</v>
      </c>
      <c r="B1" s="5" t="s">
        <v>10</v>
      </c>
      <c r="C1" s="5" t="s">
        <v>11</v>
      </c>
      <c r="D1" s="5" t="s">
        <v>12</v>
      </c>
      <c r="E1" s="5" t="s">
        <v>13</v>
      </c>
      <c r="F1" s="5" t="s">
        <v>14</v>
      </c>
      <c r="G1" s="5" t="s">
        <v>15</v>
      </c>
      <c r="H1" s="5" t="s">
        <v>16</v>
      </c>
      <c r="I1" s="5" t="s">
        <v>17</v>
      </c>
      <c r="J1" s="5" t="s">
        <v>18</v>
      </c>
      <c r="K1" s="5" t="s">
        <v>19</v>
      </c>
      <c r="L1" s="5" t="s">
        <v>20</v>
      </c>
      <c r="M1" s="5" t="s">
        <v>21</v>
      </c>
      <c r="N1" s="5" t="s">
        <v>22</v>
      </c>
      <c r="O1" s="5" t="s">
        <v>23</v>
      </c>
      <c r="P1" s="5" t="s">
        <v>24</v>
      </c>
      <c r="Q1" s="5" t="s">
        <v>25</v>
      </c>
      <c r="R1" s="5" t="s">
        <v>26</v>
      </c>
      <c r="S1" s="5" t="s">
        <v>27</v>
      </c>
      <c r="T1" s="5" t="s">
        <v>28</v>
      </c>
      <c r="U1" s="5" t="s">
        <v>29</v>
      </c>
      <c r="V1" s="5" t="s">
        <v>30</v>
      </c>
      <c r="W1" s="5" t="s">
        <v>31</v>
      </c>
      <c r="X1" s="5" t="s">
        <v>32</v>
      </c>
      <c r="Y1" t="s">
        <v>383</v>
      </c>
    </row>
    <row r="2" spans="1:25" ht="42.75">
      <c r="A2" s="3" t="s">
        <v>33</v>
      </c>
      <c r="B2" s="6">
        <v>46127.378472222219</v>
      </c>
      <c r="C2" s="3" t="s">
        <v>34</v>
      </c>
      <c r="D2" s="3" t="s">
        <v>35</v>
      </c>
      <c r="E2" s="3" t="s">
        <v>36</v>
      </c>
      <c r="F2" s="3" t="s">
        <v>37</v>
      </c>
      <c r="G2" s="3" t="s">
        <v>38</v>
      </c>
      <c r="H2" s="3" t="s">
        <v>39</v>
      </c>
      <c r="I2" s="3" t="s">
        <v>40</v>
      </c>
      <c r="J2" s="3" t="s">
        <v>41</v>
      </c>
      <c r="K2" s="3" t="s">
        <v>42</v>
      </c>
      <c r="L2" s="7">
        <v>0.1</v>
      </c>
      <c r="M2" s="8">
        <v>842</v>
      </c>
      <c r="N2" s="8">
        <v>96</v>
      </c>
      <c r="O2" s="8">
        <v>310</v>
      </c>
      <c r="P2" s="8">
        <v>28</v>
      </c>
      <c r="Q2" s="8">
        <v>118000</v>
      </c>
      <c r="R2" s="8">
        <v>4200</v>
      </c>
      <c r="S2" s="8">
        <f>SUM(M2:P2)+R2</f>
        <v>5476</v>
      </c>
      <c r="T2" s="9">
        <f t="shared" ref="T2:T33" si="0">IFERROR(S2/Q2,0)</f>
        <v>4.6406779661016952E-2</v>
      </c>
      <c r="U2" s="3" t="str">
        <f t="shared" ref="U2:U33" si="1">TEXT(B2,"dddd")</f>
        <v>Wednesday</v>
      </c>
      <c r="V2" s="3" t="s">
        <v>43</v>
      </c>
      <c r="W2" s="3" t="s">
        <v>41</v>
      </c>
      <c r="X2" s="3" t="s">
        <v>44</v>
      </c>
      <c r="Y2" t="str">
        <f>IF(AND(Q2&gt;MEDIAN($Q$2:$Q$61), T2&lt;MEDIAN($T$2:$T$61)),"Yes","No")</f>
        <v>No</v>
      </c>
    </row>
    <row r="3" spans="1:25" ht="28.5">
      <c r="A3" s="3" t="s">
        <v>45</v>
      </c>
      <c r="B3" s="6">
        <v>46127.404166666667</v>
      </c>
      <c r="C3" s="3" t="s">
        <v>46</v>
      </c>
      <c r="D3" s="3" t="s">
        <v>47</v>
      </c>
      <c r="E3" s="3" t="s">
        <v>48</v>
      </c>
      <c r="F3" s="3" t="s">
        <v>49</v>
      </c>
      <c r="G3" s="3" t="s">
        <v>38</v>
      </c>
      <c r="H3" s="3" t="s">
        <v>50</v>
      </c>
      <c r="I3" s="3"/>
      <c r="J3" s="3" t="s">
        <v>51</v>
      </c>
      <c r="K3" s="3" t="s">
        <v>52</v>
      </c>
      <c r="L3" s="7">
        <v>0.7</v>
      </c>
      <c r="M3" s="8">
        <v>18</v>
      </c>
      <c r="N3" s="8">
        <v>3</v>
      </c>
      <c r="O3" s="8">
        <v>1</v>
      </c>
      <c r="P3" s="8">
        <v>0</v>
      </c>
      <c r="Q3" s="8">
        <v>920</v>
      </c>
      <c r="R3" s="8">
        <v>0</v>
      </c>
      <c r="S3" s="8">
        <f t="shared" ref="S3:S33" si="2">SUM(M3:P3)+R3</f>
        <v>22</v>
      </c>
      <c r="T3" s="9">
        <f t="shared" si="0"/>
        <v>2.391304347826087E-2</v>
      </c>
      <c r="U3" s="3" t="str">
        <f t="shared" si="1"/>
        <v>Wednesday</v>
      </c>
      <c r="V3" s="3" t="s">
        <v>53</v>
      </c>
      <c r="W3" s="3" t="s">
        <v>41</v>
      </c>
      <c r="X3" s="3" t="s">
        <v>54</v>
      </c>
      <c r="Y3" t="str">
        <f t="shared" ref="Y2:Y33" si="3">IF(AND(Q3&gt;MEDIAN($Q$2:$Q$61), T3&lt;MEDIAN($T$2:$T$61)),"Yes","No")</f>
        <v>No</v>
      </c>
    </row>
    <row r="4" spans="1:25" ht="28.5">
      <c r="A4" s="3" t="s">
        <v>55</v>
      </c>
      <c r="B4" s="6">
        <v>46127.428472222222</v>
      </c>
      <c r="C4" s="3" t="s">
        <v>56</v>
      </c>
      <c r="D4" s="3" t="s">
        <v>47</v>
      </c>
      <c r="E4" s="3" t="s">
        <v>48</v>
      </c>
      <c r="F4" s="3" t="s">
        <v>57</v>
      </c>
      <c r="G4" s="3" t="s">
        <v>38</v>
      </c>
      <c r="H4" s="3" t="s">
        <v>50</v>
      </c>
      <c r="I4" s="3"/>
      <c r="J4" s="3" t="s">
        <v>51</v>
      </c>
      <c r="K4" s="3" t="s">
        <v>58</v>
      </c>
      <c r="L4" s="7">
        <v>-0.35</v>
      </c>
      <c r="M4" s="8">
        <v>6</v>
      </c>
      <c r="N4" s="8">
        <v>9</v>
      </c>
      <c r="O4" s="8">
        <v>0</v>
      </c>
      <c r="P4" s="8">
        <v>0</v>
      </c>
      <c r="Q4" s="8">
        <v>780</v>
      </c>
      <c r="R4" s="8">
        <v>0</v>
      </c>
      <c r="S4" s="8">
        <f t="shared" si="2"/>
        <v>15</v>
      </c>
      <c r="T4" s="9">
        <f t="shared" si="0"/>
        <v>1.9230769230769232E-2</v>
      </c>
      <c r="U4" s="3" t="str">
        <f t="shared" si="1"/>
        <v>Wednesday</v>
      </c>
      <c r="V4" s="3" t="s">
        <v>59</v>
      </c>
      <c r="W4" s="3" t="s">
        <v>51</v>
      </c>
      <c r="X4" s="3" t="s">
        <v>60</v>
      </c>
      <c r="Y4" t="str">
        <f t="shared" si="3"/>
        <v>No</v>
      </c>
    </row>
    <row r="5" spans="1:25" ht="28.5">
      <c r="A5" s="3" t="s">
        <v>61</v>
      </c>
      <c r="B5" s="6">
        <v>46128.520833333336</v>
      </c>
      <c r="C5" s="3" t="s">
        <v>34</v>
      </c>
      <c r="D5" s="3" t="s">
        <v>35</v>
      </c>
      <c r="E5" s="3" t="s">
        <v>36</v>
      </c>
      <c r="F5" s="3" t="s">
        <v>62</v>
      </c>
      <c r="G5" s="3" t="s">
        <v>63</v>
      </c>
      <c r="H5" s="3" t="s">
        <v>39</v>
      </c>
      <c r="I5" s="3" t="s">
        <v>64</v>
      </c>
      <c r="J5" s="3" t="s">
        <v>41</v>
      </c>
      <c r="K5" s="3" t="s">
        <v>52</v>
      </c>
      <c r="L5" s="7">
        <v>0.57999999999999996</v>
      </c>
      <c r="M5" s="8">
        <v>620</v>
      </c>
      <c r="N5" s="8">
        <v>42</v>
      </c>
      <c r="O5" s="8">
        <v>128</v>
      </c>
      <c r="P5" s="8">
        <v>12</v>
      </c>
      <c r="Q5" s="8">
        <v>84200</v>
      </c>
      <c r="R5" s="8">
        <v>5100</v>
      </c>
      <c r="S5" s="8">
        <f t="shared" si="2"/>
        <v>5902</v>
      </c>
      <c r="T5" s="9">
        <f t="shared" si="0"/>
        <v>7.0095011876484564E-2</v>
      </c>
      <c r="U5" s="3" t="str">
        <f t="shared" si="1"/>
        <v>Thursday</v>
      </c>
      <c r="V5" s="3" t="s">
        <v>43</v>
      </c>
      <c r="W5" s="3" t="s">
        <v>41</v>
      </c>
      <c r="X5" s="3" t="s">
        <v>65</v>
      </c>
      <c r="Y5" t="str">
        <f t="shared" si="3"/>
        <v>No</v>
      </c>
    </row>
    <row r="6" spans="1:25" ht="28.5">
      <c r="A6" s="3" t="s">
        <v>66</v>
      </c>
      <c r="B6" s="6">
        <v>46128.544444444444</v>
      </c>
      <c r="C6" s="3" t="s">
        <v>46</v>
      </c>
      <c r="D6" s="3" t="s">
        <v>47</v>
      </c>
      <c r="E6" s="3" t="s">
        <v>67</v>
      </c>
      <c r="F6" s="3" t="s">
        <v>68</v>
      </c>
      <c r="G6" s="3" t="s">
        <v>63</v>
      </c>
      <c r="H6" s="3" t="s">
        <v>50</v>
      </c>
      <c r="I6" s="3"/>
      <c r="J6" s="3" t="s">
        <v>51</v>
      </c>
      <c r="K6" s="3" t="s">
        <v>52</v>
      </c>
      <c r="L6" s="7">
        <v>0.62</v>
      </c>
      <c r="M6" s="8">
        <v>25</v>
      </c>
      <c r="N6" s="8">
        <v>2</v>
      </c>
      <c r="O6" s="8">
        <v>4</v>
      </c>
      <c r="P6" s="8">
        <v>0</v>
      </c>
      <c r="Q6" s="8">
        <v>1300</v>
      </c>
      <c r="R6" s="8">
        <v>0</v>
      </c>
      <c r="S6" s="8">
        <f t="shared" si="2"/>
        <v>31</v>
      </c>
      <c r="T6" s="9">
        <f t="shared" si="0"/>
        <v>2.3846153846153847E-2</v>
      </c>
      <c r="U6" s="3" t="str">
        <f t="shared" si="1"/>
        <v>Thursday</v>
      </c>
      <c r="V6" s="3" t="s">
        <v>69</v>
      </c>
      <c r="W6" s="3" t="s">
        <v>41</v>
      </c>
      <c r="X6" s="3" t="s">
        <v>70</v>
      </c>
      <c r="Y6" t="str">
        <f t="shared" si="3"/>
        <v>No</v>
      </c>
    </row>
    <row r="7" spans="1:25" ht="28.5">
      <c r="A7" s="3" t="s">
        <v>71</v>
      </c>
      <c r="B7" s="6">
        <v>46129.368055555555</v>
      </c>
      <c r="C7" s="3" t="s">
        <v>56</v>
      </c>
      <c r="D7" s="3" t="s">
        <v>47</v>
      </c>
      <c r="E7" s="3" t="s">
        <v>48</v>
      </c>
      <c r="F7" s="3" t="s">
        <v>72</v>
      </c>
      <c r="G7" s="3" t="s">
        <v>73</v>
      </c>
      <c r="H7" s="3" t="s">
        <v>50</v>
      </c>
      <c r="I7" s="3"/>
      <c r="J7" s="3" t="s">
        <v>51</v>
      </c>
      <c r="K7" s="3" t="s">
        <v>58</v>
      </c>
      <c r="L7" s="7">
        <v>-0.82</v>
      </c>
      <c r="M7" s="8">
        <v>41</v>
      </c>
      <c r="N7" s="8">
        <v>18</v>
      </c>
      <c r="O7" s="8">
        <v>7</v>
      </c>
      <c r="P7" s="8">
        <v>1</v>
      </c>
      <c r="Q7" s="8">
        <v>4500</v>
      </c>
      <c r="R7" s="8">
        <v>0</v>
      </c>
      <c r="S7" s="8">
        <f t="shared" si="2"/>
        <v>67</v>
      </c>
      <c r="T7" s="9">
        <f t="shared" si="0"/>
        <v>1.4888888888888889E-2</v>
      </c>
      <c r="U7" s="3" t="str">
        <f t="shared" si="1"/>
        <v>Friday</v>
      </c>
      <c r="V7" s="3" t="s">
        <v>74</v>
      </c>
      <c r="W7" s="3" t="s">
        <v>51</v>
      </c>
      <c r="X7" s="3" t="s">
        <v>75</v>
      </c>
      <c r="Y7" t="str">
        <f t="shared" si="3"/>
        <v>No</v>
      </c>
    </row>
    <row r="8" spans="1:25" ht="28.5">
      <c r="A8" s="3" t="s">
        <v>76</v>
      </c>
      <c r="B8" s="6">
        <v>46129.385416666664</v>
      </c>
      <c r="C8" s="3" t="s">
        <v>46</v>
      </c>
      <c r="D8" s="3" t="s">
        <v>35</v>
      </c>
      <c r="E8" s="3" t="s">
        <v>36</v>
      </c>
      <c r="F8" s="3" t="s">
        <v>77</v>
      </c>
      <c r="G8" s="3" t="s">
        <v>78</v>
      </c>
      <c r="H8" s="3" t="s">
        <v>50</v>
      </c>
      <c r="I8" s="3"/>
      <c r="J8" s="3" t="s">
        <v>51</v>
      </c>
      <c r="K8" s="3" t="s">
        <v>42</v>
      </c>
      <c r="L8" s="7">
        <v>0.05</v>
      </c>
      <c r="M8" s="8">
        <v>12</v>
      </c>
      <c r="N8" s="8">
        <v>5</v>
      </c>
      <c r="O8" s="8">
        <v>0</v>
      </c>
      <c r="P8" s="8">
        <v>0</v>
      </c>
      <c r="Q8" s="8">
        <v>2100</v>
      </c>
      <c r="R8" s="8">
        <v>0</v>
      </c>
      <c r="S8" s="8">
        <f t="shared" si="2"/>
        <v>17</v>
      </c>
      <c r="T8" s="9">
        <f t="shared" si="0"/>
        <v>8.0952380952380946E-3</v>
      </c>
      <c r="U8" s="3" t="str">
        <f t="shared" si="1"/>
        <v>Friday</v>
      </c>
      <c r="V8" s="3" t="s">
        <v>78</v>
      </c>
      <c r="W8" s="3" t="s">
        <v>41</v>
      </c>
      <c r="X8" s="3" t="s">
        <v>79</v>
      </c>
      <c r="Y8" t="str">
        <f t="shared" si="3"/>
        <v>No</v>
      </c>
    </row>
    <row r="9" spans="1:25" ht="42.75">
      <c r="A9" s="3" t="s">
        <v>80</v>
      </c>
      <c r="B9" s="6">
        <v>46130.739583333336</v>
      </c>
      <c r="C9" s="3" t="s">
        <v>34</v>
      </c>
      <c r="D9" s="3" t="s">
        <v>35</v>
      </c>
      <c r="E9" s="3" t="s">
        <v>36</v>
      </c>
      <c r="F9" s="3" t="s">
        <v>81</v>
      </c>
      <c r="G9" s="3" t="s">
        <v>63</v>
      </c>
      <c r="H9" s="3" t="s">
        <v>82</v>
      </c>
      <c r="I9" s="3" t="s">
        <v>83</v>
      </c>
      <c r="J9" s="3" t="s">
        <v>41</v>
      </c>
      <c r="K9" s="3" t="s">
        <v>42</v>
      </c>
      <c r="L9" s="7">
        <v>0.22</v>
      </c>
      <c r="M9" s="8">
        <v>208</v>
      </c>
      <c r="N9" s="8">
        <v>19</v>
      </c>
      <c r="O9" s="8">
        <v>42</v>
      </c>
      <c r="P9" s="8">
        <v>5</v>
      </c>
      <c r="Q9" s="8">
        <v>61200</v>
      </c>
      <c r="R9" s="8">
        <v>390</v>
      </c>
      <c r="S9" s="8">
        <f t="shared" si="2"/>
        <v>664</v>
      </c>
      <c r="T9" s="9">
        <f t="shared" si="0"/>
        <v>1.0849673202614379E-2</v>
      </c>
      <c r="U9" s="3" t="str">
        <f t="shared" si="1"/>
        <v>Saturday</v>
      </c>
      <c r="V9" s="3" t="s">
        <v>43</v>
      </c>
      <c r="W9" s="3" t="s">
        <v>41</v>
      </c>
      <c r="X9" s="3" t="s">
        <v>84</v>
      </c>
      <c r="Y9" t="str">
        <f t="shared" si="3"/>
        <v>Yes</v>
      </c>
    </row>
    <row r="10" spans="1:25" ht="28.5">
      <c r="A10" s="3" t="s">
        <v>85</v>
      </c>
      <c r="B10" s="6">
        <v>46131.472222222219</v>
      </c>
      <c r="C10" s="3" t="s">
        <v>56</v>
      </c>
      <c r="D10" s="3" t="s">
        <v>86</v>
      </c>
      <c r="E10" s="3" t="s">
        <v>67</v>
      </c>
      <c r="F10" s="3" t="s">
        <v>87</v>
      </c>
      <c r="G10" s="3" t="s">
        <v>88</v>
      </c>
      <c r="H10" s="3" t="s">
        <v>50</v>
      </c>
      <c r="I10" s="3"/>
      <c r="J10" s="3" t="s">
        <v>51</v>
      </c>
      <c r="K10" s="3" t="s">
        <v>52</v>
      </c>
      <c r="L10" s="7">
        <v>0.74</v>
      </c>
      <c r="M10" s="8">
        <v>53</v>
      </c>
      <c r="N10" s="8">
        <v>4</v>
      </c>
      <c r="O10" s="8">
        <v>8</v>
      </c>
      <c r="P10" s="8">
        <v>1</v>
      </c>
      <c r="Q10" s="8">
        <v>3900</v>
      </c>
      <c r="R10" s="8">
        <v>0</v>
      </c>
      <c r="S10" s="8">
        <f t="shared" si="2"/>
        <v>66</v>
      </c>
      <c r="T10" s="9">
        <f t="shared" si="0"/>
        <v>1.6923076923076923E-2</v>
      </c>
      <c r="U10" s="3" t="str">
        <f t="shared" si="1"/>
        <v>Sunday</v>
      </c>
      <c r="V10" s="3" t="s">
        <v>53</v>
      </c>
      <c r="W10" s="3" t="s">
        <v>41</v>
      </c>
      <c r="X10" s="3" t="s">
        <v>89</v>
      </c>
      <c r="Y10" t="str">
        <f t="shared" si="3"/>
        <v>No</v>
      </c>
    </row>
    <row r="11" spans="1:25" ht="28.5">
      <c r="A11" s="3" t="s">
        <v>90</v>
      </c>
      <c r="B11" s="6">
        <v>46132.319444444445</v>
      </c>
      <c r="C11" s="3" t="s">
        <v>34</v>
      </c>
      <c r="D11" s="3" t="s">
        <v>35</v>
      </c>
      <c r="E11" s="3" t="s">
        <v>36</v>
      </c>
      <c r="F11" s="3" t="s">
        <v>91</v>
      </c>
      <c r="G11" s="3" t="s">
        <v>92</v>
      </c>
      <c r="H11" s="3" t="s">
        <v>50</v>
      </c>
      <c r="I11" s="3" t="s">
        <v>93</v>
      </c>
      <c r="J11" s="3" t="s">
        <v>41</v>
      </c>
      <c r="K11" s="3" t="s">
        <v>42</v>
      </c>
      <c r="L11" s="7">
        <v>0</v>
      </c>
      <c r="M11" s="8">
        <v>315</v>
      </c>
      <c r="N11" s="8">
        <v>88</v>
      </c>
      <c r="O11" s="8">
        <v>91</v>
      </c>
      <c r="P11" s="8">
        <v>19</v>
      </c>
      <c r="Q11" s="8">
        <v>96500</v>
      </c>
      <c r="R11" s="8">
        <v>800</v>
      </c>
      <c r="S11" s="8">
        <f t="shared" si="2"/>
        <v>1313</v>
      </c>
      <c r="T11" s="9">
        <f t="shared" si="0"/>
        <v>1.3606217616580311E-2</v>
      </c>
      <c r="U11" s="3" t="str">
        <f t="shared" si="1"/>
        <v>Monday</v>
      </c>
      <c r="V11" s="3" t="s">
        <v>94</v>
      </c>
      <c r="W11" s="3" t="s">
        <v>41</v>
      </c>
      <c r="X11" s="3" t="s">
        <v>95</v>
      </c>
      <c r="Y11" t="str">
        <f t="shared" si="3"/>
        <v>Yes</v>
      </c>
    </row>
    <row r="12" spans="1:25" ht="28.5">
      <c r="A12" s="3" t="s">
        <v>96</v>
      </c>
      <c r="B12" s="6">
        <v>46132.341666666667</v>
      </c>
      <c r="C12" s="3" t="s">
        <v>46</v>
      </c>
      <c r="D12" s="3" t="s">
        <v>47</v>
      </c>
      <c r="E12" s="3" t="s">
        <v>48</v>
      </c>
      <c r="F12" s="3" t="s">
        <v>97</v>
      </c>
      <c r="G12" s="3" t="s">
        <v>92</v>
      </c>
      <c r="H12" s="3" t="s">
        <v>50</v>
      </c>
      <c r="I12" s="3"/>
      <c r="J12" s="3" t="s">
        <v>51</v>
      </c>
      <c r="K12" s="3" t="s">
        <v>52</v>
      </c>
      <c r="L12" s="7">
        <v>0.5</v>
      </c>
      <c r="M12" s="8">
        <v>14</v>
      </c>
      <c r="N12" s="8">
        <v>1</v>
      </c>
      <c r="O12" s="8">
        <v>2</v>
      </c>
      <c r="P12" s="8">
        <v>0</v>
      </c>
      <c r="Q12" s="8">
        <v>840</v>
      </c>
      <c r="R12" s="8">
        <v>0</v>
      </c>
      <c r="S12" s="8">
        <f t="shared" si="2"/>
        <v>17</v>
      </c>
      <c r="T12" s="9">
        <f t="shared" si="0"/>
        <v>2.0238095238095239E-2</v>
      </c>
      <c r="U12" s="3" t="str">
        <f t="shared" si="1"/>
        <v>Monday</v>
      </c>
      <c r="V12" s="3" t="s">
        <v>53</v>
      </c>
      <c r="W12" s="3" t="s">
        <v>41</v>
      </c>
      <c r="X12" s="3" t="s">
        <v>98</v>
      </c>
      <c r="Y12" t="str">
        <f t="shared" si="3"/>
        <v>No</v>
      </c>
    </row>
    <row r="13" spans="1:25" ht="28.5">
      <c r="A13" s="3" t="s">
        <v>99</v>
      </c>
      <c r="B13" s="6">
        <v>46133.753472222219</v>
      </c>
      <c r="C13" s="3" t="s">
        <v>56</v>
      </c>
      <c r="D13" s="3" t="s">
        <v>47</v>
      </c>
      <c r="E13" s="3" t="s">
        <v>48</v>
      </c>
      <c r="F13" s="3" t="s">
        <v>100</v>
      </c>
      <c r="G13" s="3" t="s">
        <v>92</v>
      </c>
      <c r="H13" s="3" t="s">
        <v>50</v>
      </c>
      <c r="I13" s="3"/>
      <c r="J13" s="3" t="s">
        <v>51</v>
      </c>
      <c r="K13" s="3" t="s">
        <v>58</v>
      </c>
      <c r="L13" s="7">
        <v>-0.76</v>
      </c>
      <c r="M13" s="8">
        <v>33</v>
      </c>
      <c r="N13" s="8">
        <v>22</v>
      </c>
      <c r="O13" s="8">
        <v>4</v>
      </c>
      <c r="P13" s="8">
        <v>2</v>
      </c>
      <c r="Q13" s="8">
        <v>5200</v>
      </c>
      <c r="R13" s="8">
        <v>0</v>
      </c>
      <c r="S13" s="8">
        <f t="shared" si="2"/>
        <v>61</v>
      </c>
      <c r="T13" s="9">
        <f t="shared" si="0"/>
        <v>1.173076923076923E-2</v>
      </c>
      <c r="U13" s="3" t="str">
        <f t="shared" si="1"/>
        <v>Tuesday</v>
      </c>
      <c r="V13" s="3" t="s">
        <v>101</v>
      </c>
      <c r="W13" s="3" t="s">
        <v>51</v>
      </c>
      <c r="X13" s="3" t="s">
        <v>75</v>
      </c>
      <c r="Y13" t="str">
        <f t="shared" si="3"/>
        <v>No</v>
      </c>
    </row>
    <row r="14" spans="1:25" ht="28.5">
      <c r="A14" s="3" t="s">
        <v>102</v>
      </c>
      <c r="B14" s="6">
        <v>46134.416666666664</v>
      </c>
      <c r="C14" s="3" t="s">
        <v>34</v>
      </c>
      <c r="D14" s="3" t="s">
        <v>35</v>
      </c>
      <c r="E14" s="3" t="s">
        <v>36</v>
      </c>
      <c r="F14" s="3" t="s">
        <v>103</v>
      </c>
      <c r="G14" s="3" t="s">
        <v>104</v>
      </c>
      <c r="H14" s="3" t="s">
        <v>105</v>
      </c>
      <c r="I14" s="3" t="s">
        <v>106</v>
      </c>
      <c r="J14" s="3" t="s">
        <v>41</v>
      </c>
      <c r="K14" s="3" t="s">
        <v>52</v>
      </c>
      <c r="L14" s="7">
        <v>0.46</v>
      </c>
      <c r="M14" s="8">
        <v>1100</v>
      </c>
      <c r="N14" s="8">
        <v>72</v>
      </c>
      <c r="O14" s="8">
        <v>405</v>
      </c>
      <c r="P14" s="8">
        <v>31</v>
      </c>
      <c r="Q14" s="8">
        <v>156000</v>
      </c>
      <c r="R14" s="8">
        <v>7400</v>
      </c>
      <c r="S14" s="8">
        <f t="shared" si="2"/>
        <v>9008</v>
      </c>
      <c r="T14" s="9">
        <f t="shared" si="0"/>
        <v>5.7743589743589743E-2</v>
      </c>
      <c r="U14" s="3" t="str">
        <f t="shared" si="1"/>
        <v>Wednesday</v>
      </c>
      <c r="V14" s="3" t="s">
        <v>43</v>
      </c>
      <c r="W14" s="3" t="s">
        <v>41</v>
      </c>
      <c r="X14" s="3" t="s">
        <v>107</v>
      </c>
      <c r="Y14" t="str">
        <f t="shared" si="3"/>
        <v>No</v>
      </c>
    </row>
    <row r="15" spans="1:25" ht="28.5">
      <c r="A15" s="3" t="s">
        <v>108</v>
      </c>
      <c r="B15" s="6">
        <v>46134.432638888888</v>
      </c>
      <c r="C15" s="3" t="s">
        <v>109</v>
      </c>
      <c r="D15" s="3" t="s">
        <v>110</v>
      </c>
      <c r="E15" s="3" t="s">
        <v>111</v>
      </c>
      <c r="F15" s="3" t="s">
        <v>112</v>
      </c>
      <c r="G15" s="3" t="s">
        <v>104</v>
      </c>
      <c r="H15" s="3" t="s">
        <v>50</v>
      </c>
      <c r="I15" s="3" t="s">
        <v>113</v>
      </c>
      <c r="J15" s="3" t="s">
        <v>51</v>
      </c>
      <c r="K15" s="3" t="s">
        <v>52</v>
      </c>
      <c r="L15" s="7">
        <v>0.67</v>
      </c>
      <c r="M15" s="8">
        <v>96</v>
      </c>
      <c r="N15" s="8">
        <v>6</v>
      </c>
      <c r="O15" s="8">
        <v>31</v>
      </c>
      <c r="P15" s="8">
        <v>4</v>
      </c>
      <c r="Q15" s="8">
        <v>6700</v>
      </c>
      <c r="R15" s="8">
        <v>0</v>
      </c>
      <c r="S15" s="8">
        <f t="shared" si="2"/>
        <v>137</v>
      </c>
      <c r="T15" s="9">
        <f t="shared" si="0"/>
        <v>2.044776119402985E-2</v>
      </c>
      <c r="U15" s="3" t="str">
        <f t="shared" si="1"/>
        <v>Wednesday</v>
      </c>
      <c r="V15" s="3" t="s">
        <v>43</v>
      </c>
      <c r="W15" s="3" t="s">
        <v>41</v>
      </c>
      <c r="X15" s="3" t="s">
        <v>114</v>
      </c>
      <c r="Y15" t="str">
        <f t="shared" si="3"/>
        <v>No</v>
      </c>
    </row>
    <row r="16" spans="1:25" ht="28.5">
      <c r="A16" s="3" t="s">
        <v>115</v>
      </c>
      <c r="B16" s="6">
        <v>46135.604166666664</v>
      </c>
      <c r="C16" s="3" t="s">
        <v>34</v>
      </c>
      <c r="D16" s="3" t="s">
        <v>35</v>
      </c>
      <c r="E16" s="3" t="s">
        <v>36</v>
      </c>
      <c r="F16" s="3" t="s">
        <v>116</v>
      </c>
      <c r="G16" s="3" t="s">
        <v>117</v>
      </c>
      <c r="H16" s="3" t="s">
        <v>39</v>
      </c>
      <c r="I16" s="3" t="s">
        <v>118</v>
      </c>
      <c r="J16" s="3" t="s">
        <v>41</v>
      </c>
      <c r="K16" s="3" t="s">
        <v>52</v>
      </c>
      <c r="L16" s="7">
        <v>0.63</v>
      </c>
      <c r="M16" s="8">
        <v>730</v>
      </c>
      <c r="N16" s="8">
        <v>51</v>
      </c>
      <c r="O16" s="8">
        <v>144</v>
      </c>
      <c r="P16" s="8">
        <v>11</v>
      </c>
      <c r="Q16" s="8">
        <v>102000</v>
      </c>
      <c r="R16" s="8">
        <v>2900</v>
      </c>
      <c r="S16" s="8">
        <f t="shared" si="2"/>
        <v>3836</v>
      </c>
      <c r="T16" s="9">
        <f t="shared" si="0"/>
        <v>3.7607843137254904E-2</v>
      </c>
      <c r="U16" s="3" t="str">
        <f t="shared" si="1"/>
        <v>Thursday</v>
      </c>
      <c r="V16" s="3" t="s">
        <v>119</v>
      </c>
      <c r="W16" s="3" t="s">
        <v>41</v>
      </c>
      <c r="X16" s="3" t="s">
        <v>120</v>
      </c>
      <c r="Y16" t="str">
        <f t="shared" si="3"/>
        <v>No</v>
      </c>
    </row>
    <row r="17" spans="1:25" ht="28.5">
      <c r="A17" s="3" t="s">
        <v>121</v>
      </c>
      <c r="B17" s="6">
        <v>46135.629861111112</v>
      </c>
      <c r="C17" s="3" t="s">
        <v>46</v>
      </c>
      <c r="D17" s="3" t="s">
        <v>122</v>
      </c>
      <c r="E17" s="3" t="s">
        <v>67</v>
      </c>
      <c r="F17" s="3" t="s">
        <v>123</v>
      </c>
      <c r="G17" s="3" t="s">
        <v>117</v>
      </c>
      <c r="H17" s="3" t="s">
        <v>50</v>
      </c>
      <c r="I17" s="3"/>
      <c r="J17" s="3" t="s">
        <v>51</v>
      </c>
      <c r="K17" s="3" t="s">
        <v>52</v>
      </c>
      <c r="L17" s="7">
        <v>0.86</v>
      </c>
      <c r="M17" s="8">
        <v>64</v>
      </c>
      <c r="N17" s="8">
        <v>3</v>
      </c>
      <c r="O17" s="8">
        <v>13</v>
      </c>
      <c r="P17" s="8">
        <v>1</v>
      </c>
      <c r="Q17" s="8">
        <v>4200</v>
      </c>
      <c r="R17" s="8">
        <v>0</v>
      </c>
      <c r="S17" s="8">
        <f t="shared" si="2"/>
        <v>81</v>
      </c>
      <c r="T17" s="9">
        <f t="shared" si="0"/>
        <v>1.9285714285714285E-2</v>
      </c>
      <c r="U17" s="3" t="str">
        <f t="shared" si="1"/>
        <v>Thursday</v>
      </c>
      <c r="V17" s="3" t="s">
        <v>53</v>
      </c>
      <c r="W17" s="3" t="s">
        <v>41</v>
      </c>
      <c r="X17" s="3" t="s">
        <v>89</v>
      </c>
      <c r="Y17" t="str">
        <f t="shared" si="3"/>
        <v>No</v>
      </c>
    </row>
    <row r="18" spans="1:25" ht="28.5">
      <c r="A18" s="3" t="s">
        <v>124</v>
      </c>
      <c r="B18" s="6">
        <v>46136.347222222219</v>
      </c>
      <c r="C18" s="3" t="s">
        <v>56</v>
      </c>
      <c r="D18" s="3" t="s">
        <v>47</v>
      </c>
      <c r="E18" s="3" t="s">
        <v>48</v>
      </c>
      <c r="F18" s="3" t="s">
        <v>125</v>
      </c>
      <c r="G18" s="3" t="s">
        <v>126</v>
      </c>
      <c r="H18" s="3" t="s">
        <v>50</v>
      </c>
      <c r="I18" s="3"/>
      <c r="J18" s="3" t="s">
        <v>51</v>
      </c>
      <c r="K18" s="3" t="s">
        <v>58</v>
      </c>
      <c r="L18" s="7">
        <v>-0.7</v>
      </c>
      <c r="M18" s="8">
        <v>28</v>
      </c>
      <c r="N18" s="8">
        <v>12</v>
      </c>
      <c r="O18" s="8">
        <v>3</v>
      </c>
      <c r="P18" s="8">
        <v>1</v>
      </c>
      <c r="Q18" s="8">
        <v>3100</v>
      </c>
      <c r="R18" s="8">
        <v>0</v>
      </c>
      <c r="S18" s="8">
        <f t="shared" si="2"/>
        <v>44</v>
      </c>
      <c r="T18" s="9">
        <f t="shared" si="0"/>
        <v>1.4193548387096775E-2</v>
      </c>
      <c r="U18" s="3" t="str">
        <f t="shared" si="1"/>
        <v>Friday</v>
      </c>
      <c r="V18" s="3" t="s">
        <v>74</v>
      </c>
      <c r="W18" s="3" t="s">
        <v>51</v>
      </c>
      <c r="X18" s="3" t="s">
        <v>127</v>
      </c>
      <c r="Y18" t="str">
        <f t="shared" si="3"/>
        <v>No</v>
      </c>
    </row>
    <row r="19" spans="1:25" ht="28.5">
      <c r="A19" s="3" t="s">
        <v>128</v>
      </c>
      <c r="B19" s="6">
        <v>46137.673611111109</v>
      </c>
      <c r="C19" s="3" t="s">
        <v>34</v>
      </c>
      <c r="D19" s="3" t="s">
        <v>35</v>
      </c>
      <c r="E19" s="3" t="s">
        <v>36</v>
      </c>
      <c r="F19" s="3" t="s">
        <v>129</v>
      </c>
      <c r="G19" s="3" t="s">
        <v>130</v>
      </c>
      <c r="H19" s="3" t="s">
        <v>82</v>
      </c>
      <c r="I19" s="3" t="s">
        <v>131</v>
      </c>
      <c r="J19" s="3" t="s">
        <v>41</v>
      </c>
      <c r="K19" s="3" t="s">
        <v>42</v>
      </c>
      <c r="L19" s="7">
        <v>0.24</v>
      </c>
      <c r="M19" s="8">
        <v>260</v>
      </c>
      <c r="N19" s="8">
        <v>34</v>
      </c>
      <c r="O19" s="8">
        <v>49</v>
      </c>
      <c r="P19" s="8">
        <v>7</v>
      </c>
      <c r="Q19" s="8">
        <v>74400</v>
      </c>
      <c r="R19" s="8">
        <v>1650</v>
      </c>
      <c r="S19" s="8">
        <f t="shared" si="2"/>
        <v>2000</v>
      </c>
      <c r="T19" s="9">
        <f t="shared" si="0"/>
        <v>2.6881720430107527E-2</v>
      </c>
      <c r="U19" s="3" t="str">
        <f t="shared" si="1"/>
        <v>Saturday</v>
      </c>
      <c r="V19" s="3" t="s">
        <v>43</v>
      </c>
      <c r="W19" s="3" t="s">
        <v>41</v>
      </c>
      <c r="X19" s="3" t="s">
        <v>84</v>
      </c>
      <c r="Y19" t="str">
        <f t="shared" si="3"/>
        <v>No</v>
      </c>
    </row>
    <row r="20" spans="1:25" ht="28.5">
      <c r="A20" s="3" t="s">
        <v>132</v>
      </c>
      <c r="B20" s="6">
        <v>46137.723611111112</v>
      </c>
      <c r="C20" s="3" t="s">
        <v>46</v>
      </c>
      <c r="D20" s="3" t="s">
        <v>47</v>
      </c>
      <c r="E20" s="3" t="s">
        <v>48</v>
      </c>
      <c r="F20" s="3" t="s">
        <v>133</v>
      </c>
      <c r="G20" s="3" t="s">
        <v>130</v>
      </c>
      <c r="H20" s="3" t="s">
        <v>50</v>
      </c>
      <c r="I20" s="3"/>
      <c r="J20" s="3" t="s">
        <v>51</v>
      </c>
      <c r="K20" s="3" t="s">
        <v>42</v>
      </c>
      <c r="L20" s="7">
        <v>0.05</v>
      </c>
      <c r="M20" s="8">
        <v>9</v>
      </c>
      <c r="N20" s="8">
        <v>4</v>
      </c>
      <c r="O20" s="8">
        <v>1</v>
      </c>
      <c r="P20" s="8">
        <v>0</v>
      </c>
      <c r="Q20" s="8">
        <v>1050</v>
      </c>
      <c r="R20" s="8">
        <v>0</v>
      </c>
      <c r="S20" s="8">
        <f t="shared" si="2"/>
        <v>14</v>
      </c>
      <c r="T20" s="9">
        <f t="shared" si="0"/>
        <v>1.3333333333333334E-2</v>
      </c>
      <c r="U20" s="3" t="str">
        <f t="shared" si="1"/>
        <v>Saturday</v>
      </c>
      <c r="V20" s="3" t="s">
        <v>101</v>
      </c>
      <c r="W20" s="3" t="s">
        <v>51</v>
      </c>
      <c r="X20" s="3" t="s">
        <v>98</v>
      </c>
      <c r="Y20" t="str">
        <f t="shared" si="3"/>
        <v>No</v>
      </c>
    </row>
    <row r="21" spans="1:25" ht="28.5">
      <c r="A21" s="3" t="s">
        <v>134</v>
      </c>
      <c r="B21" s="6">
        <v>46138.375</v>
      </c>
      <c r="C21" s="3" t="s">
        <v>34</v>
      </c>
      <c r="D21" s="3" t="s">
        <v>35</v>
      </c>
      <c r="E21" s="3" t="s">
        <v>36</v>
      </c>
      <c r="F21" s="3" t="s">
        <v>135</v>
      </c>
      <c r="G21" s="3" t="s">
        <v>88</v>
      </c>
      <c r="H21" s="3" t="s">
        <v>82</v>
      </c>
      <c r="I21" s="3" t="s">
        <v>136</v>
      </c>
      <c r="J21" s="3" t="s">
        <v>41</v>
      </c>
      <c r="K21" s="3" t="s">
        <v>52</v>
      </c>
      <c r="L21" s="7">
        <v>0.48</v>
      </c>
      <c r="M21" s="8">
        <v>188</v>
      </c>
      <c r="N21" s="8">
        <v>17</v>
      </c>
      <c r="O21" s="8">
        <v>66</v>
      </c>
      <c r="P21" s="8">
        <v>3</v>
      </c>
      <c r="Q21" s="8">
        <v>54300</v>
      </c>
      <c r="R21" s="8">
        <v>2300</v>
      </c>
      <c r="S21" s="8">
        <f t="shared" si="2"/>
        <v>2574</v>
      </c>
      <c r="T21" s="9">
        <f t="shared" si="0"/>
        <v>4.7403314917127071E-2</v>
      </c>
      <c r="U21" s="3" t="str">
        <f t="shared" si="1"/>
        <v>Sunday</v>
      </c>
      <c r="V21" s="3" t="s">
        <v>119</v>
      </c>
      <c r="W21" s="3" t="s">
        <v>41</v>
      </c>
      <c r="X21" s="3" t="s">
        <v>84</v>
      </c>
      <c r="Y21" t="str">
        <f t="shared" si="3"/>
        <v>No</v>
      </c>
    </row>
    <row r="22" spans="1:25" ht="28.5">
      <c r="A22" s="3" t="s">
        <v>137</v>
      </c>
      <c r="B22" s="6">
        <v>46139.329861111109</v>
      </c>
      <c r="C22" s="3" t="s">
        <v>56</v>
      </c>
      <c r="D22" s="3" t="s">
        <v>86</v>
      </c>
      <c r="E22" s="3" t="s">
        <v>67</v>
      </c>
      <c r="F22" s="3" t="s">
        <v>138</v>
      </c>
      <c r="G22" s="3" t="s">
        <v>88</v>
      </c>
      <c r="H22" s="3" t="s">
        <v>50</v>
      </c>
      <c r="I22" s="3" t="s">
        <v>139</v>
      </c>
      <c r="J22" s="3" t="s">
        <v>51</v>
      </c>
      <c r="K22" s="3" t="s">
        <v>140</v>
      </c>
      <c r="L22" s="7">
        <v>0.12</v>
      </c>
      <c r="M22" s="8">
        <v>22</v>
      </c>
      <c r="N22" s="8">
        <v>5</v>
      </c>
      <c r="O22" s="8">
        <v>4</v>
      </c>
      <c r="P22" s="8">
        <v>0</v>
      </c>
      <c r="Q22" s="8">
        <v>1700</v>
      </c>
      <c r="R22" s="8">
        <v>0</v>
      </c>
      <c r="S22" s="8">
        <f t="shared" si="2"/>
        <v>31</v>
      </c>
      <c r="T22" s="9">
        <f t="shared" si="0"/>
        <v>1.8235294117647058E-2</v>
      </c>
      <c r="U22" s="3" t="str">
        <f t="shared" si="1"/>
        <v>Monday</v>
      </c>
      <c r="V22" s="3" t="s">
        <v>69</v>
      </c>
      <c r="W22" s="3" t="s">
        <v>41</v>
      </c>
      <c r="X22" s="3" t="s">
        <v>141</v>
      </c>
      <c r="Y22" t="str">
        <f t="shared" si="3"/>
        <v>No</v>
      </c>
    </row>
    <row r="23" spans="1:25" ht="28.5">
      <c r="A23" s="3" t="s">
        <v>142</v>
      </c>
      <c r="B23" s="6">
        <v>46140.510416666664</v>
      </c>
      <c r="C23" s="3" t="s">
        <v>34</v>
      </c>
      <c r="D23" s="3" t="s">
        <v>35</v>
      </c>
      <c r="E23" s="3" t="s">
        <v>36</v>
      </c>
      <c r="F23" s="3" t="s">
        <v>143</v>
      </c>
      <c r="G23" s="3" t="s">
        <v>73</v>
      </c>
      <c r="H23" s="3" t="s">
        <v>39</v>
      </c>
      <c r="I23" s="3" t="s">
        <v>144</v>
      </c>
      <c r="J23" s="3" t="s">
        <v>41</v>
      </c>
      <c r="K23" s="3" t="s">
        <v>52</v>
      </c>
      <c r="L23" s="7">
        <v>0.55000000000000004</v>
      </c>
      <c r="M23" s="8">
        <v>980</v>
      </c>
      <c r="N23" s="8">
        <v>104</v>
      </c>
      <c r="O23" s="8">
        <v>218</v>
      </c>
      <c r="P23" s="8">
        <v>26</v>
      </c>
      <c r="Q23" s="8">
        <v>142500</v>
      </c>
      <c r="R23" s="8">
        <v>6100</v>
      </c>
      <c r="S23" s="8">
        <f t="shared" si="2"/>
        <v>7428</v>
      </c>
      <c r="T23" s="9">
        <f t="shared" si="0"/>
        <v>5.2126315789473687E-2</v>
      </c>
      <c r="U23" s="3" t="str">
        <f t="shared" si="1"/>
        <v>Tuesday</v>
      </c>
      <c r="V23" s="3" t="s">
        <v>145</v>
      </c>
      <c r="W23" s="3" t="s">
        <v>41</v>
      </c>
      <c r="X23" s="3" t="s">
        <v>146</v>
      </c>
      <c r="Y23" t="str">
        <f t="shared" si="3"/>
        <v>No</v>
      </c>
    </row>
    <row r="24" spans="1:25" ht="28.5">
      <c r="A24" s="3" t="s">
        <v>147</v>
      </c>
      <c r="B24" s="6">
        <v>46140.532638888886</v>
      </c>
      <c r="C24" s="3" t="s">
        <v>46</v>
      </c>
      <c r="D24" s="3" t="s">
        <v>47</v>
      </c>
      <c r="E24" s="3" t="s">
        <v>48</v>
      </c>
      <c r="F24" s="3" t="s">
        <v>148</v>
      </c>
      <c r="G24" s="3" t="s">
        <v>73</v>
      </c>
      <c r="H24" s="3" t="s">
        <v>50</v>
      </c>
      <c r="I24" s="3"/>
      <c r="J24" s="3" t="s">
        <v>51</v>
      </c>
      <c r="K24" s="3" t="s">
        <v>52</v>
      </c>
      <c r="L24" s="7">
        <v>0.64</v>
      </c>
      <c r="M24" s="8">
        <v>31</v>
      </c>
      <c r="N24" s="8">
        <v>2</v>
      </c>
      <c r="O24" s="8">
        <v>3</v>
      </c>
      <c r="P24" s="8">
        <v>0</v>
      </c>
      <c r="Q24" s="8">
        <v>1800</v>
      </c>
      <c r="R24" s="8">
        <v>0</v>
      </c>
      <c r="S24" s="8">
        <f t="shared" si="2"/>
        <v>36</v>
      </c>
      <c r="T24" s="9">
        <f t="shared" si="0"/>
        <v>0.02</v>
      </c>
      <c r="U24" s="3" t="str">
        <f t="shared" si="1"/>
        <v>Tuesday</v>
      </c>
      <c r="V24" s="3" t="s">
        <v>53</v>
      </c>
      <c r="W24" s="3" t="s">
        <v>41</v>
      </c>
      <c r="X24" s="3" t="s">
        <v>98</v>
      </c>
      <c r="Y24" t="str">
        <f t="shared" si="3"/>
        <v>No</v>
      </c>
    </row>
    <row r="25" spans="1:25" ht="28.5">
      <c r="A25" s="3" t="s">
        <v>149</v>
      </c>
      <c r="B25" s="6">
        <v>46140.545138888891</v>
      </c>
      <c r="C25" s="3" t="s">
        <v>46</v>
      </c>
      <c r="D25" s="3" t="s">
        <v>47</v>
      </c>
      <c r="E25" s="3" t="s">
        <v>48</v>
      </c>
      <c r="F25" s="3" t="s">
        <v>150</v>
      </c>
      <c r="G25" s="3" t="s">
        <v>73</v>
      </c>
      <c r="H25" s="3" t="s">
        <v>50</v>
      </c>
      <c r="I25" s="3"/>
      <c r="J25" s="3" t="s">
        <v>51</v>
      </c>
      <c r="K25" s="3" t="s">
        <v>140</v>
      </c>
      <c r="L25" s="7">
        <v>0.08</v>
      </c>
      <c r="M25" s="8">
        <v>44</v>
      </c>
      <c r="N25" s="8">
        <v>7</v>
      </c>
      <c r="O25" s="8">
        <v>5</v>
      </c>
      <c r="P25" s="8">
        <v>1</v>
      </c>
      <c r="Q25" s="8">
        <v>2600</v>
      </c>
      <c r="R25" s="8">
        <v>0</v>
      </c>
      <c r="S25" s="8">
        <f t="shared" si="2"/>
        <v>57</v>
      </c>
      <c r="T25" s="9">
        <f t="shared" si="0"/>
        <v>2.1923076923076924E-2</v>
      </c>
      <c r="U25" s="3" t="str">
        <f t="shared" si="1"/>
        <v>Tuesday</v>
      </c>
      <c r="V25" s="3" t="s">
        <v>69</v>
      </c>
      <c r="W25" s="3" t="s">
        <v>41</v>
      </c>
      <c r="X25" s="3" t="s">
        <v>70</v>
      </c>
      <c r="Y25" t="str">
        <f t="shared" si="3"/>
        <v>No</v>
      </c>
    </row>
    <row r="26" spans="1:25" ht="28.5">
      <c r="A26" s="3" t="s">
        <v>151</v>
      </c>
      <c r="B26" s="6">
        <v>46141.8125</v>
      </c>
      <c r="C26" s="3" t="s">
        <v>56</v>
      </c>
      <c r="D26" s="3" t="s">
        <v>47</v>
      </c>
      <c r="E26" s="3" t="s">
        <v>48</v>
      </c>
      <c r="F26" s="3" t="s">
        <v>152</v>
      </c>
      <c r="G26" s="3" t="s">
        <v>126</v>
      </c>
      <c r="H26" s="3" t="s">
        <v>50</v>
      </c>
      <c r="I26" s="3"/>
      <c r="J26" s="3" t="s">
        <v>51</v>
      </c>
      <c r="K26" s="3" t="s">
        <v>58</v>
      </c>
      <c r="L26" s="7">
        <v>-0.57999999999999996</v>
      </c>
      <c r="M26" s="8">
        <v>12</v>
      </c>
      <c r="N26" s="8">
        <v>8</v>
      </c>
      <c r="O26" s="8">
        <v>1</v>
      </c>
      <c r="P26" s="8">
        <v>0</v>
      </c>
      <c r="Q26" s="8">
        <v>1400</v>
      </c>
      <c r="R26" s="8">
        <v>0</v>
      </c>
      <c r="S26" s="8">
        <f t="shared" si="2"/>
        <v>21</v>
      </c>
      <c r="T26" s="9">
        <f t="shared" si="0"/>
        <v>1.4999999999999999E-2</v>
      </c>
      <c r="U26" s="3" t="str">
        <f t="shared" si="1"/>
        <v>Wednesday</v>
      </c>
      <c r="V26" s="3" t="s">
        <v>101</v>
      </c>
      <c r="W26" s="3" t="s">
        <v>51</v>
      </c>
      <c r="X26" s="3" t="s">
        <v>75</v>
      </c>
      <c r="Y26" t="str">
        <f t="shared" si="3"/>
        <v>No</v>
      </c>
    </row>
    <row r="27" spans="1:25" ht="28.5">
      <c r="A27" s="3" t="s">
        <v>153</v>
      </c>
      <c r="B27" s="6">
        <v>46143.378472222219</v>
      </c>
      <c r="C27" s="3" t="s">
        <v>34</v>
      </c>
      <c r="D27" s="3" t="s">
        <v>35</v>
      </c>
      <c r="E27" s="3" t="s">
        <v>36</v>
      </c>
      <c r="F27" s="3" t="s">
        <v>154</v>
      </c>
      <c r="G27" s="3" t="s">
        <v>63</v>
      </c>
      <c r="H27" s="3" t="s">
        <v>39</v>
      </c>
      <c r="I27" s="3" t="s">
        <v>155</v>
      </c>
      <c r="J27" s="3" t="s">
        <v>41</v>
      </c>
      <c r="K27" s="3" t="s">
        <v>52</v>
      </c>
      <c r="L27" s="7">
        <v>0.51</v>
      </c>
      <c r="M27" s="8">
        <v>760</v>
      </c>
      <c r="N27" s="8">
        <v>38</v>
      </c>
      <c r="O27" s="8">
        <v>160</v>
      </c>
      <c r="P27" s="8">
        <v>13</v>
      </c>
      <c r="Q27" s="8">
        <v>100400</v>
      </c>
      <c r="R27" s="8">
        <v>4800</v>
      </c>
      <c r="S27" s="8">
        <f t="shared" si="2"/>
        <v>5771</v>
      </c>
      <c r="T27" s="9">
        <f t="shared" si="0"/>
        <v>5.7480079681274901E-2</v>
      </c>
      <c r="U27" s="3" t="str">
        <f t="shared" si="1"/>
        <v>Friday</v>
      </c>
      <c r="V27" s="3" t="s">
        <v>43</v>
      </c>
      <c r="W27" s="3" t="s">
        <v>41</v>
      </c>
      <c r="X27" s="3" t="s">
        <v>95</v>
      </c>
      <c r="Y27" t="str">
        <f t="shared" si="3"/>
        <v>No</v>
      </c>
    </row>
    <row r="28" spans="1:25" ht="28.5">
      <c r="A28" s="3" t="s">
        <v>156</v>
      </c>
      <c r="B28" s="6">
        <v>46144.425000000003</v>
      </c>
      <c r="C28" s="3" t="s">
        <v>56</v>
      </c>
      <c r="D28" s="3" t="s">
        <v>47</v>
      </c>
      <c r="E28" s="3" t="s">
        <v>67</v>
      </c>
      <c r="F28" s="3" t="s">
        <v>157</v>
      </c>
      <c r="G28" s="3" t="s">
        <v>73</v>
      </c>
      <c r="H28" s="3" t="s">
        <v>50</v>
      </c>
      <c r="I28" s="3"/>
      <c r="J28" s="3" t="s">
        <v>51</v>
      </c>
      <c r="K28" s="3" t="s">
        <v>140</v>
      </c>
      <c r="L28" s="7">
        <v>-0.05</v>
      </c>
      <c r="M28" s="8">
        <v>105</v>
      </c>
      <c r="N28" s="8">
        <v>11</v>
      </c>
      <c r="O28" s="8">
        <v>14</v>
      </c>
      <c r="P28" s="8">
        <v>2</v>
      </c>
      <c r="Q28" s="8">
        <v>9800</v>
      </c>
      <c r="R28" s="8">
        <v>0</v>
      </c>
      <c r="S28" s="8">
        <f t="shared" si="2"/>
        <v>132</v>
      </c>
      <c r="T28" s="9">
        <f t="shared" si="0"/>
        <v>1.3469387755102041E-2</v>
      </c>
      <c r="U28" s="3" t="str">
        <f t="shared" si="1"/>
        <v>Saturday</v>
      </c>
      <c r="V28" s="3" t="s">
        <v>69</v>
      </c>
      <c r="W28" s="3" t="s">
        <v>41</v>
      </c>
      <c r="X28" s="3" t="s">
        <v>127</v>
      </c>
      <c r="Y28" t="str">
        <f t="shared" si="3"/>
        <v>Yes</v>
      </c>
    </row>
    <row r="29" spans="1:25" ht="28.5">
      <c r="A29" s="3" t="s">
        <v>158</v>
      </c>
      <c r="B29" s="6">
        <v>46145.555555555555</v>
      </c>
      <c r="C29" s="3" t="s">
        <v>34</v>
      </c>
      <c r="D29" s="3" t="s">
        <v>35</v>
      </c>
      <c r="E29" s="3" t="s">
        <v>36</v>
      </c>
      <c r="F29" s="3" t="s">
        <v>159</v>
      </c>
      <c r="G29" s="3" t="s">
        <v>38</v>
      </c>
      <c r="H29" s="3" t="s">
        <v>105</v>
      </c>
      <c r="I29" s="3" t="s">
        <v>160</v>
      </c>
      <c r="J29" s="3" t="s">
        <v>41</v>
      </c>
      <c r="K29" s="3" t="s">
        <v>42</v>
      </c>
      <c r="L29" s="7">
        <v>0.2</v>
      </c>
      <c r="M29" s="8">
        <v>520</v>
      </c>
      <c r="N29" s="8">
        <v>44</v>
      </c>
      <c r="O29" s="8">
        <v>205</v>
      </c>
      <c r="P29" s="8">
        <v>15</v>
      </c>
      <c r="Q29" s="8">
        <v>132000</v>
      </c>
      <c r="R29" s="8">
        <v>6900</v>
      </c>
      <c r="S29" s="8">
        <f t="shared" si="2"/>
        <v>7684</v>
      </c>
      <c r="T29" s="9">
        <f t="shared" si="0"/>
        <v>5.8212121212121215E-2</v>
      </c>
      <c r="U29" s="3" t="str">
        <f t="shared" si="1"/>
        <v>Sunday</v>
      </c>
      <c r="V29" s="3" t="s">
        <v>43</v>
      </c>
      <c r="W29" s="3" t="s">
        <v>41</v>
      </c>
      <c r="X29" s="3" t="s">
        <v>107</v>
      </c>
      <c r="Y29" t="str">
        <f t="shared" si="3"/>
        <v>No</v>
      </c>
    </row>
    <row r="30" spans="1:25" ht="28.5">
      <c r="A30" s="3" t="s">
        <v>161</v>
      </c>
      <c r="B30" s="6">
        <v>46145.588888888888</v>
      </c>
      <c r="C30" s="3" t="s">
        <v>46</v>
      </c>
      <c r="D30" s="3" t="s">
        <v>47</v>
      </c>
      <c r="E30" s="3" t="s">
        <v>48</v>
      </c>
      <c r="F30" s="3" t="s">
        <v>162</v>
      </c>
      <c r="G30" s="3" t="s">
        <v>38</v>
      </c>
      <c r="H30" s="3" t="s">
        <v>50</v>
      </c>
      <c r="I30" s="3"/>
      <c r="J30" s="3" t="s">
        <v>51</v>
      </c>
      <c r="K30" s="3" t="s">
        <v>140</v>
      </c>
      <c r="L30" s="7">
        <v>-0.1</v>
      </c>
      <c r="M30" s="8">
        <v>21</v>
      </c>
      <c r="N30" s="8">
        <v>3</v>
      </c>
      <c r="O30" s="8">
        <v>2</v>
      </c>
      <c r="P30" s="8">
        <v>0</v>
      </c>
      <c r="Q30" s="8">
        <v>1150</v>
      </c>
      <c r="R30" s="8">
        <v>0</v>
      </c>
      <c r="S30" s="8">
        <f t="shared" si="2"/>
        <v>26</v>
      </c>
      <c r="T30" s="9">
        <f t="shared" si="0"/>
        <v>2.2608695652173914E-2</v>
      </c>
      <c r="U30" s="3" t="str">
        <f t="shared" si="1"/>
        <v>Sunday</v>
      </c>
      <c r="V30" s="3" t="s">
        <v>69</v>
      </c>
      <c r="W30" s="3" t="s">
        <v>41</v>
      </c>
      <c r="X30" s="3" t="s">
        <v>98</v>
      </c>
      <c r="Y30" t="str">
        <f t="shared" si="3"/>
        <v>No</v>
      </c>
    </row>
    <row r="31" spans="1:25" ht="28.5">
      <c r="A31" s="3" t="s">
        <v>163</v>
      </c>
      <c r="B31" s="6">
        <v>46146.364583333336</v>
      </c>
      <c r="C31" s="3" t="s">
        <v>56</v>
      </c>
      <c r="D31" s="3" t="s">
        <v>47</v>
      </c>
      <c r="E31" s="3" t="s">
        <v>48</v>
      </c>
      <c r="F31" s="3" t="s">
        <v>164</v>
      </c>
      <c r="G31" s="3" t="s">
        <v>73</v>
      </c>
      <c r="H31" s="3" t="s">
        <v>50</v>
      </c>
      <c r="I31" s="3"/>
      <c r="J31" s="3" t="s">
        <v>51</v>
      </c>
      <c r="K31" s="3" t="s">
        <v>58</v>
      </c>
      <c r="L31" s="7">
        <v>-0.69</v>
      </c>
      <c r="M31" s="8">
        <v>39</v>
      </c>
      <c r="N31" s="8">
        <v>15</v>
      </c>
      <c r="O31" s="8">
        <v>4</v>
      </c>
      <c r="P31" s="8">
        <v>1</v>
      </c>
      <c r="Q31" s="8">
        <v>4300</v>
      </c>
      <c r="R31" s="8">
        <v>0</v>
      </c>
      <c r="S31" s="8">
        <f t="shared" si="2"/>
        <v>59</v>
      </c>
      <c r="T31" s="9">
        <f t="shared" si="0"/>
        <v>1.372093023255814E-2</v>
      </c>
      <c r="U31" s="3" t="str">
        <f t="shared" si="1"/>
        <v>Monday</v>
      </c>
      <c r="V31" s="3" t="s">
        <v>74</v>
      </c>
      <c r="W31" s="3" t="s">
        <v>51</v>
      </c>
      <c r="X31" s="3" t="s">
        <v>127</v>
      </c>
      <c r="Y31" t="str">
        <f t="shared" si="3"/>
        <v>No</v>
      </c>
    </row>
    <row r="32" spans="1:25" ht="28.5">
      <c r="A32" s="3" t="s">
        <v>165</v>
      </c>
      <c r="B32" s="6">
        <v>46147.458333333336</v>
      </c>
      <c r="C32" s="3" t="s">
        <v>34</v>
      </c>
      <c r="D32" s="3" t="s">
        <v>35</v>
      </c>
      <c r="E32" s="3" t="s">
        <v>36</v>
      </c>
      <c r="F32" s="3" t="s">
        <v>166</v>
      </c>
      <c r="G32" s="3" t="s">
        <v>38</v>
      </c>
      <c r="H32" s="3" t="s">
        <v>82</v>
      </c>
      <c r="I32" s="3" t="s">
        <v>167</v>
      </c>
      <c r="J32" s="3" t="s">
        <v>41</v>
      </c>
      <c r="K32" s="3" t="s">
        <v>52</v>
      </c>
      <c r="L32" s="7">
        <v>0.42</v>
      </c>
      <c r="M32" s="8">
        <v>900</v>
      </c>
      <c r="N32" s="8">
        <v>82</v>
      </c>
      <c r="O32" s="8">
        <v>360</v>
      </c>
      <c r="P32" s="8">
        <v>33</v>
      </c>
      <c r="Q32" s="8">
        <v>170000</v>
      </c>
      <c r="R32" s="8">
        <v>8900</v>
      </c>
      <c r="S32" s="8">
        <f t="shared" si="2"/>
        <v>10275</v>
      </c>
      <c r="T32" s="9">
        <f t="shared" si="0"/>
        <v>6.0441176470588234E-2</v>
      </c>
      <c r="U32" s="3" t="str">
        <f t="shared" si="1"/>
        <v>Tuesday</v>
      </c>
      <c r="V32" s="3" t="s">
        <v>43</v>
      </c>
      <c r="W32" s="3" t="s">
        <v>41</v>
      </c>
      <c r="X32" s="3" t="s">
        <v>84</v>
      </c>
      <c r="Y32" t="str">
        <f t="shared" si="3"/>
        <v>No</v>
      </c>
    </row>
    <row r="33" spans="1:25" ht="28.5">
      <c r="A33" s="3" t="s">
        <v>168</v>
      </c>
      <c r="B33" s="6">
        <v>46147.501388888886</v>
      </c>
      <c r="C33" s="3" t="s">
        <v>109</v>
      </c>
      <c r="D33" s="3" t="s">
        <v>169</v>
      </c>
      <c r="E33" s="3" t="s">
        <v>36</v>
      </c>
      <c r="F33" s="3" t="s">
        <v>170</v>
      </c>
      <c r="G33" s="3" t="s">
        <v>38</v>
      </c>
      <c r="H33" s="3" t="s">
        <v>50</v>
      </c>
      <c r="I33" s="3" t="s">
        <v>113</v>
      </c>
      <c r="J33" s="3" t="s">
        <v>51</v>
      </c>
      <c r="K33" s="3" t="s">
        <v>52</v>
      </c>
      <c r="L33" s="7">
        <v>0.45</v>
      </c>
      <c r="M33" s="8">
        <v>230</v>
      </c>
      <c r="N33" s="8">
        <v>18</v>
      </c>
      <c r="O33" s="8">
        <v>71</v>
      </c>
      <c r="P33" s="8">
        <v>9</v>
      </c>
      <c r="Q33" s="8">
        <v>31000</v>
      </c>
      <c r="R33" s="8">
        <v>0</v>
      </c>
      <c r="S33" s="8">
        <f t="shared" si="2"/>
        <v>328</v>
      </c>
      <c r="T33" s="9">
        <f t="shared" si="0"/>
        <v>1.0580645161290323E-2</v>
      </c>
      <c r="U33" s="3" t="str">
        <f t="shared" si="1"/>
        <v>Tuesday</v>
      </c>
      <c r="V33" s="3" t="s">
        <v>94</v>
      </c>
      <c r="W33" s="3" t="s">
        <v>41</v>
      </c>
      <c r="X33" s="3" t="s">
        <v>70</v>
      </c>
      <c r="Y33" t="str">
        <f t="shared" si="3"/>
        <v>Yes</v>
      </c>
    </row>
    <row r="34" spans="1:25" ht="28.5">
      <c r="A34" s="3" t="s">
        <v>171</v>
      </c>
      <c r="B34" s="6">
        <v>46148.690972222219</v>
      </c>
      <c r="C34" s="3" t="s">
        <v>34</v>
      </c>
      <c r="D34" s="3" t="s">
        <v>35</v>
      </c>
      <c r="E34" s="3" t="s">
        <v>36</v>
      </c>
      <c r="F34" s="3" t="s">
        <v>172</v>
      </c>
      <c r="G34" s="3" t="s">
        <v>104</v>
      </c>
      <c r="H34" s="3" t="s">
        <v>39</v>
      </c>
      <c r="I34" s="3" t="s">
        <v>173</v>
      </c>
      <c r="J34" s="3" t="s">
        <v>41</v>
      </c>
      <c r="K34" s="3" t="s">
        <v>52</v>
      </c>
      <c r="L34" s="7">
        <v>0.4</v>
      </c>
      <c r="M34" s="8">
        <v>480</v>
      </c>
      <c r="N34" s="8">
        <v>93</v>
      </c>
      <c r="O34" s="8">
        <v>156</v>
      </c>
      <c r="P34" s="8">
        <v>24</v>
      </c>
      <c r="Q34" s="8">
        <v>124000</v>
      </c>
      <c r="R34" s="8">
        <v>4100</v>
      </c>
      <c r="S34" s="8">
        <f t="shared" ref="S34:S61" si="4">SUM(M34:P34)+R34</f>
        <v>4853</v>
      </c>
      <c r="T34" s="9">
        <f t="shared" ref="T34:T61" si="5">IFERROR(S34/Q34,0)</f>
        <v>3.9137096774193546E-2</v>
      </c>
      <c r="U34" s="3" t="str">
        <f t="shared" ref="U34:U61" si="6">TEXT(B34,"dddd")</f>
        <v>Wednesday</v>
      </c>
      <c r="V34" s="3" t="s">
        <v>145</v>
      </c>
      <c r="W34" s="3" t="s">
        <v>41</v>
      </c>
      <c r="X34" s="3" t="s">
        <v>146</v>
      </c>
      <c r="Y34" t="str">
        <f t="shared" ref="Y34:Y61" si="7">IF(AND(Q34&gt;MEDIAN($Q$2:$Q$61), T34&lt;MEDIAN($T$2:$T$61)),"Yes","No")</f>
        <v>No</v>
      </c>
    </row>
    <row r="35" spans="1:25" ht="28.5">
      <c r="A35" s="3" t="s">
        <v>174</v>
      </c>
      <c r="B35" s="6">
        <v>46148.71597222222</v>
      </c>
      <c r="C35" s="3" t="s">
        <v>46</v>
      </c>
      <c r="D35" s="3" t="s">
        <v>47</v>
      </c>
      <c r="E35" s="3" t="s">
        <v>48</v>
      </c>
      <c r="F35" s="3" t="s">
        <v>175</v>
      </c>
      <c r="G35" s="3" t="s">
        <v>104</v>
      </c>
      <c r="H35" s="3" t="s">
        <v>50</v>
      </c>
      <c r="I35" s="3"/>
      <c r="J35" s="3" t="s">
        <v>51</v>
      </c>
      <c r="K35" s="3" t="s">
        <v>140</v>
      </c>
      <c r="L35" s="7">
        <v>0.04</v>
      </c>
      <c r="M35" s="8">
        <v>34</v>
      </c>
      <c r="N35" s="8">
        <v>6</v>
      </c>
      <c r="O35" s="8">
        <v>2</v>
      </c>
      <c r="P35" s="8">
        <v>0</v>
      </c>
      <c r="Q35" s="8">
        <v>2100</v>
      </c>
      <c r="R35" s="8">
        <v>0</v>
      </c>
      <c r="S35" s="8">
        <f t="shared" si="4"/>
        <v>42</v>
      </c>
      <c r="T35" s="9">
        <f t="shared" si="5"/>
        <v>0.02</v>
      </c>
      <c r="U35" s="3" t="str">
        <f t="shared" si="6"/>
        <v>Wednesday</v>
      </c>
      <c r="V35" s="3" t="s">
        <v>69</v>
      </c>
      <c r="W35" s="3" t="s">
        <v>41</v>
      </c>
      <c r="X35" s="3" t="s">
        <v>98</v>
      </c>
      <c r="Y35" t="str">
        <f t="shared" si="7"/>
        <v>No</v>
      </c>
    </row>
    <row r="36" spans="1:25" ht="28.5">
      <c r="A36" s="3" t="s">
        <v>176</v>
      </c>
      <c r="B36" s="6">
        <v>46149.3125</v>
      </c>
      <c r="C36" s="3" t="s">
        <v>56</v>
      </c>
      <c r="D36" s="3" t="s">
        <v>47</v>
      </c>
      <c r="E36" s="3" t="s">
        <v>48</v>
      </c>
      <c r="F36" s="3" t="s">
        <v>177</v>
      </c>
      <c r="G36" s="3" t="s">
        <v>92</v>
      </c>
      <c r="H36" s="3" t="s">
        <v>50</v>
      </c>
      <c r="I36" s="3" t="s">
        <v>178</v>
      </c>
      <c r="J36" s="3" t="s">
        <v>51</v>
      </c>
      <c r="K36" s="3" t="s">
        <v>58</v>
      </c>
      <c r="L36" s="7">
        <v>-0.74</v>
      </c>
      <c r="M36" s="8">
        <v>52</v>
      </c>
      <c r="N36" s="8">
        <v>21</v>
      </c>
      <c r="O36" s="8">
        <v>8</v>
      </c>
      <c r="P36" s="8">
        <v>3</v>
      </c>
      <c r="Q36" s="8">
        <v>7700</v>
      </c>
      <c r="R36" s="8">
        <v>0</v>
      </c>
      <c r="S36" s="8">
        <f t="shared" si="4"/>
        <v>84</v>
      </c>
      <c r="T36" s="9">
        <f t="shared" si="5"/>
        <v>1.090909090909091E-2</v>
      </c>
      <c r="U36" s="3" t="str">
        <f t="shared" si="6"/>
        <v>Thursday</v>
      </c>
      <c r="V36" s="3" t="s">
        <v>101</v>
      </c>
      <c r="W36" s="3" t="s">
        <v>51</v>
      </c>
      <c r="X36" s="3" t="s">
        <v>141</v>
      </c>
      <c r="Y36" t="str">
        <f t="shared" si="7"/>
        <v>Yes</v>
      </c>
    </row>
    <row r="37" spans="1:25" ht="42.75">
      <c r="A37" s="3" t="s">
        <v>179</v>
      </c>
      <c r="B37" s="6">
        <v>46149.334722222222</v>
      </c>
      <c r="C37" s="3" t="s">
        <v>46</v>
      </c>
      <c r="D37" s="3" t="s">
        <v>35</v>
      </c>
      <c r="E37" s="3" t="s">
        <v>36</v>
      </c>
      <c r="F37" s="3" t="s">
        <v>180</v>
      </c>
      <c r="G37" s="3" t="s">
        <v>92</v>
      </c>
      <c r="H37" s="3" t="s">
        <v>50</v>
      </c>
      <c r="I37" s="3" t="s">
        <v>93</v>
      </c>
      <c r="J37" s="3" t="s">
        <v>51</v>
      </c>
      <c r="K37" s="3" t="s">
        <v>42</v>
      </c>
      <c r="L37" s="7">
        <v>0</v>
      </c>
      <c r="M37" s="8">
        <v>141</v>
      </c>
      <c r="N37" s="8">
        <v>47</v>
      </c>
      <c r="O37" s="8">
        <v>39</v>
      </c>
      <c r="P37" s="8">
        <v>12</v>
      </c>
      <c r="Q37" s="8">
        <v>21900</v>
      </c>
      <c r="R37" s="8">
        <v>0</v>
      </c>
      <c r="S37" s="8">
        <f t="shared" si="4"/>
        <v>239</v>
      </c>
      <c r="T37" s="9">
        <f t="shared" si="5"/>
        <v>1.0913242009132421E-2</v>
      </c>
      <c r="U37" s="3" t="str">
        <f t="shared" si="6"/>
        <v>Thursday</v>
      </c>
      <c r="V37" s="3" t="s">
        <v>78</v>
      </c>
      <c r="W37" s="3" t="s">
        <v>41</v>
      </c>
      <c r="X37" s="3" t="s">
        <v>181</v>
      </c>
      <c r="Y37" t="str">
        <f t="shared" si="7"/>
        <v>Yes</v>
      </c>
    </row>
    <row r="38" spans="1:25" ht="28.5">
      <c r="A38" s="3" t="s">
        <v>182</v>
      </c>
      <c r="B38" s="6">
        <v>46151.434027777781</v>
      </c>
      <c r="C38" s="3" t="s">
        <v>34</v>
      </c>
      <c r="D38" s="3" t="s">
        <v>35</v>
      </c>
      <c r="E38" s="3" t="s">
        <v>36</v>
      </c>
      <c r="F38" s="3" t="s">
        <v>183</v>
      </c>
      <c r="G38" s="3" t="s">
        <v>63</v>
      </c>
      <c r="H38" s="3" t="s">
        <v>39</v>
      </c>
      <c r="I38" s="3" t="s">
        <v>184</v>
      </c>
      <c r="J38" s="3" t="s">
        <v>41</v>
      </c>
      <c r="K38" s="3" t="s">
        <v>42</v>
      </c>
      <c r="L38" s="7">
        <v>0.25</v>
      </c>
      <c r="M38" s="8">
        <v>390</v>
      </c>
      <c r="N38" s="8">
        <v>29</v>
      </c>
      <c r="O38" s="8">
        <v>85</v>
      </c>
      <c r="P38" s="8">
        <v>4</v>
      </c>
      <c r="Q38" s="8">
        <v>90300</v>
      </c>
      <c r="R38" s="8">
        <v>2500</v>
      </c>
      <c r="S38" s="8">
        <f t="shared" si="4"/>
        <v>3008</v>
      </c>
      <c r="T38" s="9">
        <f t="shared" si="5"/>
        <v>3.3311184939091916E-2</v>
      </c>
      <c r="U38" s="3" t="str">
        <f t="shared" si="6"/>
        <v>Saturday</v>
      </c>
      <c r="V38" s="3" t="s">
        <v>43</v>
      </c>
      <c r="W38" s="3" t="s">
        <v>41</v>
      </c>
      <c r="X38" s="3" t="s">
        <v>120</v>
      </c>
      <c r="Y38" t="str">
        <f t="shared" si="7"/>
        <v>No</v>
      </c>
    </row>
    <row r="39" spans="1:25" ht="28.5">
      <c r="A39" s="3" t="s">
        <v>185</v>
      </c>
      <c r="B39" s="6">
        <v>46152.784722222219</v>
      </c>
      <c r="C39" s="3" t="s">
        <v>56</v>
      </c>
      <c r="D39" s="3" t="s">
        <v>47</v>
      </c>
      <c r="E39" s="3" t="s">
        <v>48</v>
      </c>
      <c r="F39" s="3" t="s">
        <v>186</v>
      </c>
      <c r="G39" s="3" t="s">
        <v>63</v>
      </c>
      <c r="H39" s="3" t="s">
        <v>50</v>
      </c>
      <c r="I39" s="3"/>
      <c r="J39" s="3" t="s">
        <v>51</v>
      </c>
      <c r="K39" s="3" t="s">
        <v>52</v>
      </c>
      <c r="L39" s="7">
        <v>0.79</v>
      </c>
      <c r="M39" s="8">
        <v>47</v>
      </c>
      <c r="N39" s="8">
        <v>2</v>
      </c>
      <c r="O39" s="8">
        <v>5</v>
      </c>
      <c r="P39" s="8">
        <v>0</v>
      </c>
      <c r="Q39" s="8">
        <v>2500</v>
      </c>
      <c r="R39" s="8">
        <v>0</v>
      </c>
      <c r="S39" s="8">
        <f t="shared" si="4"/>
        <v>54</v>
      </c>
      <c r="T39" s="9">
        <f t="shared" si="5"/>
        <v>2.1600000000000001E-2</v>
      </c>
      <c r="U39" s="3" t="str">
        <f t="shared" si="6"/>
        <v>Sunday</v>
      </c>
      <c r="V39" s="3" t="s">
        <v>53</v>
      </c>
      <c r="W39" s="3" t="s">
        <v>41</v>
      </c>
      <c r="X39" s="3" t="s">
        <v>127</v>
      </c>
      <c r="Y39" t="str">
        <f t="shared" si="7"/>
        <v>No</v>
      </c>
    </row>
    <row r="40" spans="1:25" ht="28.5">
      <c r="A40" s="3" t="s">
        <v>187</v>
      </c>
      <c r="B40" s="6">
        <v>46154.385416666664</v>
      </c>
      <c r="C40" s="3" t="s">
        <v>34</v>
      </c>
      <c r="D40" s="3" t="s">
        <v>35</v>
      </c>
      <c r="E40" s="3" t="s">
        <v>36</v>
      </c>
      <c r="F40" s="3" t="s">
        <v>188</v>
      </c>
      <c r="G40" s="3" t="s">
        <v>130</v>
      </c>
      <c r="H40" s="3" t="s">
        <v>105</v>
      </c>
      <c r="I40" s="3" t="s">
        <v>144</v>
      </c>
      <c r="J40" s="3" t="s">
        <v>41</v>
      </c>
      <c r="K40" s="3" t="s">
        <v>52</v>
      </c>
      <c r="L40" s="7">
        <v>0.38</v>
      </c>
      <c r="M40" s="8">
        <v>670</v>
      </c>
      <c r="N40" s="8">
        <v>58</v>
      </c>
      <c r="O40" s="8">
        <v>142</v>
      </c>
      <c r="P40" s="8">
        <v>16</v>
      </c>
      <c r="Q40" s="8">
        <v>111000</v>
      </c>
      <c r="R40" s="8">
        <v>5300</v>
      </c>
      <c r="S40" s="8">
        <f t="shared" si="4"/>
        <v>6186</v>
      </c>
      <c r="T40" s="9">
        <f t="shared" si="5"/>
        <v>5.5729729729729727E-2</v>
      </c>
      <c r="U40" s="3" t="str">
        <f t="shared" si="6"/>
        <v>Tuesday</v>
      </c>
      <c r="V40" s="3" t="s">
        <v>43</v>
      </c>
      <c r="W40" s="3" t="s">
        <v>41</v>
      </c>
      <c r="X40" s="3" t="s">
        <v>189</v>
      </c>
      <c r="Y40" t="str">
        <f t="shared" si="7"/>
        <v>No</v>
      </c>
    </row>
    <row r="41" spans="1:25" ht="28.5">
      <c r="A41" s="3" t="s">
        <v>190</v>
      </c>
      <c r="B41" s="6">
        <v>46154.409722222219</v>
      </c>
      <c r="C41" s="3" t="s">
        <v>46</v>
      </c>
      <c r="D41" s="3" t="s">
        <v>47</v>
      </c>
      <c r="E41" s="3" t="s">
        <v>67</v>
      </c>
      <c r="F41" s="3" t="s">
        <v>191</v>
      </c>
      <c r="G41" s="3" t="s">
        <v>130</v>
      </c>
      <c r="H41" s="3" t="s">
        <v>50</v>
      </c>
      <c r="I41" s="3"/>
      <c r="J41" s="3" t="s">
        <v>51</v>
      </c>
      <c r="K41" s="3" t="s">
        <v>52</v>
      </c>
      <c r="L41" s="7">
        <v>0.83</v>
      </c>
      <c r="M41" s="8">
        <v>89</v>
      </c>
      <c r="N41" s="8">
        <v>5</v>
      </c>
      <c r="O41" s="8">
        <v>9</v>
      </c>
      <c r="P41" s="8">
        <v>0</v>
      </c>
      <c r="Q41" s="8">
        <v>6000</v>
      </c>
      <c r="R41" s="8">
        <v>0</v>
      </c>
      <c r="S41" s="8">
        <f t="shared" si="4"/>
        <v>103</v>
      </c>
      <c r="T41" s="9">
        <f t="shared" si="5"/>
        <v>1.7166666666666667E-2</v>
      </c>
      <c r="U41" s="3" t="str">
        <f t="shared" si="6"/>
        <v>Tuesday</v>
      </c>
      <c r="V41" s="3" t="s">
        <v>53</v>
      </c>
      <c r="W41" s="3" t="s">
        <v>41</v>
      </c>
      <c r="X41" s="3" t="s">
        <v>98</v>
      </c>
      <c r="Y41" t="str">
        <f t="shared" si="7"/>
        <v>No</v>
      </c>
    </row>
    <row r="42" spans="1:25" ht="28.5">
      <c r="A42" s="3" t="s">
        <v>192</v>
      </c>
      <c r="B42" s="6">
        <v>46156.586805555555</v>
      </c>
      <c r="C42" s="3" t="s">
        <v>34</v>
      </c>
      <c r="D42" s="3" t="s">
        <v>35</v>
      </c>
      <c r="E42" s="3" t="s">
        <v>36</v>
      </c>
      <c r="F42" s="3" t="s">
        <v>193</v>
      </c>
      <c r="G42" s="3" t="s">
        <v>194</v>
      </c>
      <c r="H42" s="3" t="s">
        <v>39</v>
      </c>
      <c r="I42" s="3" t="s">
        <v>195</v>
      </c>
      <c r="J42" s="3" t="s">
        <v>41</v>
      </c>
      <c r="K42" s="3" t="s">
        <v>52</v>
      </c>
      <c r="L42" s="7">
        <v>0.32</v>
      </c>
      <c r="M42" s="8">
        <v>310</v>
      </c>
      <c r="N42" s="8">
        <v>112</v>
      </c>
      <c r="O42" s="8">
        <v>74</v>
      </c>
      <c r="P42" s="8">
        <v>18</v>
      </c>
      <c r="Q42" s="8">
        <v>98000</v>
      </c>
      <c r="R42" s="8">
        <v>1200</v>
      </c>
      <c r="S42" s="8">
        <f t="shared" si="4"/>
        <v>1714</v>
      </c>
      <c r="T42" s="9">
        <f t="shared" si="5"/>
        <v>1.7489795918367346E-2</v>
      </c>
      <c r="U42" s="3" t="str">
        <f t="shared" si="6"/>
        <v>Thursday</v>
      </c>
      <c r="V42" s="3" t="s">
        <v>94</v>
      </c>
      <c r="W42" s="3" t="s">
        <v>41</v>
      </c>
      <c r="X42" s="3" t="s">
        <v>120</v>
      </c>
      <c r="Y42" t="str">
        <f t="shared" si="7"/>
        <v>Yes</v>
      </c>
    </row>
    <row r="43" spans="1:25" ht="28.5">
      <c r="A43" s="3" t="s">
        <v>196</v>
      </c>
      <c r="B43" s="6">
        <v>46156.626388888886</v>
      </c>
      <c r="C43" s="3" t="s">
        <v>46</v>
      </c>
      <c r="D43" s="3" t="s">
        <v>47</v>
      </c>
      <c r="E43" s="3" t="s">
        <v>48</v>
      </c>
      <c r="F43" s="3" t="s">
        <v>197</v>
      </c>
      <c r="G43" s="3" t="s">
        <v>194</v>
      </c>
      <c r="H43" s="3" t="s">
        <v>50</v>
      </c>
      <c r="I43" s="3"/>
      <c r="J43" s="3" t="s">
        <v>51</v>
      </c>
      <c r="K43" s="3" t="s">
        <v>140</v>
      </c>
      <c r="L43" s="7">
        <v>0.02</v>
      </c>
      <c r="M43" s="8">
        <v>58</v>
      </c>
      <c r="N43" s="8">
        <v>8</v>
      </c>
      <c r="O43" s="8">
        <v>6</v>
      </c>
      <c r="P43" s="8">
        <v>1</v>
      </c>
      <c r="Q43" s="8">
        <v>3400</v>
      </c>
      <c r="R43" s="8">
        <v>0</v>
      </c>
      <c r="S43" s="8">
        <f t="shared" si="4"/>
        <v>73</v>
      </c>
      <c r="T43" s="9">
        <f t="shared" si="5"/>
        <v>2.1470588235294116E-2</v>
      </c>
      <c r="U43" s="3" t="str">
        <f t="shared" si="6"/>
        <v>Thursday</v>
      </c>
      <c r="V43" s="3" t="s">
        <v>69</v>
      </c>
      <c r="W43" s="3" t="s">
        <v>41</v>
      </c>
      <c r="X43" s="3" t="s">
        <v>98</v>
      </c>
      <c r="Y43" t="str">
        <f t="shared" si="7"/>
        <v>No</v>
      </c>
    </row>
    <row r="44" spans="1:25" ht="28.5">
      <c r="A44" s="3" t="s">
        <v>198</v>
      </c>
      <c r="B44" s="6">
        <v>46158.486111111109</v>
      </c>
      <c r="C44" s="3" t="s">
        <v>56</v>
      </c>
      <c r="D44" s="3" t="s">
        <v>47</v>
      </c>
      <c r="E44" s="3" t="s">
        <v>48</v>
      </c>
      <c r="F44" s="3" t="s">
        <v>199</v>
      </c>
      <c r="G44" s="3" t="s">
        <v>126</v>
      </c>
      <c r="H44" s="3" t="s">
        <v>50</v>
      </c>
      <c r="I44" s="3"/>
      <c r="J44" s="3" t="s">
        <v>51</v>
      </c>
      <c r="K44" s="3" t="s">
        <v>58</v>
      </c>
      <c r="L44" s="7">
        <v>-0.62</v>
      </c>
      <c r="M44" s="8">
        <v>17</v>
      </c>
      <c r="N44" s="8">
        <v>6</v>
      </c>
      <c r="O44" s="8">
        <v>2</v>
      </c>
      <c r="P44" s="8">
        <v>0</v>
      </c>
      <c r="Q44" s="8">
        <v>1250</v>
      </c>
      <c r="R44" s="8">
        <v>0</v>
      </c>
      <c r="S44" s="8">
        <f t="shared" si="4"/>
        <v>25</v>
      </c>
      <c r="T44" s="9">
        <f t="shared" si="5"/>
        <v>0.02</v>
      </c>
      <c r="U44" s="3" t="str">
        <f t="shared" si="6"/>
        <v>Saturday</v>
      </c>
      <c r="V44" s="3" t="s">
        <v>74</v>
      </c>
      <c r="W44" s="3" t="s">
        <v>51</v>
      </c>
      <c r="X44" s="3" t="s">
        <v>127</v>
      </c>
      <c r="Y44" t="str">
        <f t="shared" si="7"/>
        <v>No</v>
      </c>
    </row>
    <row r="45" spans="1:25" ht="28.5">
      <c r="A45" s="3" t="s">
        <v>200</v>
      </c>
      <c r="B45" s="6">
        <v>46160.371527777781</v>
      </c>
      <c r="C45" s="3" t="s">
        <v>34</v>
      </c>
      <c r="D45" s="3" t="s">
        <v>35</v>
      </c>
      <c r="E45" s="3" t="s">
        <v>36</v>
      </c>
      <c r="F45" s="3" t="s">
        <v>201</v>
      </c>
      <c r="G45" s="3" t="s">
        <v>73</v>
      </c>
      <c r="H45" s="3" t="s">
        <v>82</v>
      </c>
      <c r="I45" s="3" t="s">
        <v>202</v>
      </c>
      <c r="J45" s="3" t="s">
        <v>41</v>
      </c>
      <c r="K45" s="3" t="s">
        <v>42</v>
      </c>
      <c r="L45" s="7">
        <v>0.18</v>
      </c>
      <c r="M45" s="8">
        <v>240</v>
      </c>
      <c r="N45" s="8">
        <v>26</v>
      </c>
      <c r="O45" s="8">
        <v>58</v>
      </c>
      <c r="P45" s="8">
        <v>6</v>
      </c>
      <c r="Q45" s="8">
        <v>88000</v>
      </c>
      <c r="R45" s="8">
        <v>2100</v>
      </c>
      <c r="S45" s="8">
        <f t="shared" si="4"/>
        <v>2430</v>
      </c>
      <c r="T45" s="9">
        <f t="shared" si="5"/>
        <v>2.7613636363636365E-2</v>
      </c>
      <c r="U45" s="3" t="str">
        <f t="shared" si="6"/>
        <v>Monday</v>
      </c>
      <c r="V45" s="3" t="s">
        <v>43</v>
      </c>
      <c r="W45" s="3" t="s">
        <v>41</v>
      </c>
      <c r="X45" s="3" t="s">
        <v>84</v>
      </c>
      <c r="Y45" t="str">
        <f t="shared" si="7"/>
        <v>No</v>
      </c>
    </row>
    <row r="46" spans="1:25" ht="28.5">
      <c r="A46" s="3" t="s">
        <v>203</v>
      </c>
      <c r="B46" s="6">
        <v>46161.798611111109</v>
      </c>
      <c r="C46" s="3" t="s">
        <v>56</v>
      </c>
      <c r="D46" s="3" t="s">
        <v>47</v>
      </c>
      <c r="E46" s="3" t="s">
        <v>48</v>
      </c>
      <c r="F46" s="3" t="s">
        <v>204</v>
      </c>
      <c r="G46" s="3" t="s">
        <v>73</v>
      </c>
      <c r="H46" s="3" t="s">
        <v>50</v>
      </c>
      <c r="I46" s="3" t="s">
        <v>205</v>
      </c>
      <c r="J46" s="3" t="s">
        <v>51</v>
      </c>
      <c r="K46" s="3" t="s">
        <v>58</v>
      </c>
      <c r="L46" s="7">
        <v>-0.56999999999999995</v>
      </c>
      <c r="M46" s="8">
        <v>36</v>
      </c>
      <c r="N46" s="8">
        <v>13</v>
      </c>
      <c r="O46" s="8">
        <v>5</v>
      </c>
      <c r="P46" s="8">
        <v>1</v>
      </c>
      <c r="Q46" s="8">
        <v>4600</v>
      </c>
      <c r="R46" s="8">
        <v>0</v>
      </c>
      <c r="S46" s="8">
        <f t="shared" si="4"/>
        <v>55</v>
      </c>
      <c r="T46" s="9">
        <f t="shared" si="5"/>
        <v>1.1956521739130435E-2</v>
      </c>
      <c r="U46" s="3" t="str">
        <f t="shared" si="6"/>
        <v>Tuesday</v>
      </c>
      <c r="V46" s="3" t="s">
        <v>101</v>
      </c>
      <c r="W46" s="3" t="s">
        <v>51</v>
      </c>
      <c r="X46" s="3" t="s">
        <v>141</v>
      </c>
      <c r="Y46" t="str">
        <f t="shared" si="7"/>
        <v>No</v>
      </c>
    </row>
    <row r="47" spans="1:25" ht="28.5">
      <c r="A47" s="3" t="s">
        <v>206</v>
      </c>
      <c r="B47" s="6">
        <v>46163.541666666664</v>
      </c>
      <c r="C47" s="3" t="s">
        <v>34</v>
      </c>
      <c r="D47" s="3" t="s">
        <v>35</v>
      </c>
      <c r="E47" s="3" t="s">
        <v>36</v>
      </c>
      <c r="F47" s="3" t="s">
        <v>207</v>
      </c>
      <c r="G47" s="3" t="s">
        <v>63</v>
      </c>
      <c r="H47" s="3" t="s">
        <v>82</v>
      </c>
      <c r="I47" s="3" t="s">
        <v>208</v>
      </c>
      <c r="J47" s="3" t="s">
        <v>41</v>
      </c>
      <c r="K47" s="3" t="s">
        <v>42</v>
      </c>
      <c r="L47" s="7">
        <v>0.2</v>
      </c>
      <c r="M47" s="8">
        <v>280</v>
      </c>
      <c r="N47" s="8">
        <v>37</v>
      </c>
      <c r="O47" s="8">
        <v>69</v>
      </c>
      <c r="P47" s="8">
        <v>9</v>
      </c>
      <c r="Q47" s="8">
        <v>79000</v>
      </c>
      <c r="R47" s="8">
        <v>3400</v>
      </c>
      <c r="S47" s="8">
        <f t="shared" si="4"/>
        <v>3795</v>
      </c>
      <c r="T47" s="9">
        <f t="shared" si="5"/>
        <v>4.8037974683544302E-2</v>
      </c>
      <c r="U47" s="3" t="str">
        <f t="shared" si="6"/>
        <v>Thursday</v>
      </c>
      <c r="V47" s="3" t="s">
        <v>43</v>
      </c>
      <c r="W47" s="3" t="s">
        <v>41</v>
      </c>
      <c r="X47" s="3" t="s">
        <v>84</v>
      </c>
      <c r="Y47" t="str">
        <f t="shared" si="7"/>
        <v>No</v>
      </c>
    </row>
    <row r="48" spans="1:25" ht="28.5">
      <c r="A48" s="3" t="s">
        <v>209</v>
      </c>
      <c r="B48" s="6">
        <v>46164.4375</v>
      </c>
      <c r="C48" s="3" t="s">
        <v>46</v>
      </c>
      <c r="D48" s="3" t="s">
        <v>47</v>
      </c>
      <c r="E48" s="3" t="s">
        <v>48</v>
      </c>
      <c r="F48" s="3" t="s">
        <v>210</v>
      </c>
      <c r="G48" s="3" t="s">
        <v>63</v>
      </c>
      <c r="H48" s="3" t="s">
        <v>50</v>
      </c>
      <c r="I48" s="3"/>
      <c r="J48" s="3" t="s">
        <v>51</v>
      </c>
      <c r="K48" s="3" t="s">
        <v>42</v>
      </c>
      <c r="L48" s="7">
        <v>0.11</v>
      </c>
      <c r="M48" s="8">
        <v>23</v>
      </c>
      <c r="N48" s="8">
        <v>3</v>
      </c>
      <c r="O48" s="8">
        <v>3</v>
      </c>
      <c r="P48" s="8">
        <v>0</v>
      </c>
      <c r="Q48" s="8">
        <v>1600</v>
      </c>
      <c r="R48" s="8">
        <v>0</v>
      </c>
      <c r="S48" s="8">
        <f t="shared" si="4"/>
        <v>29</v>
      </c>
      <c r="T48" s="9">
        <f t="shared" si="5"/>
        <v>1.8124999999999999E-2</v>
      </c>
      <c r="U48" s="3" t="str">
        <f t="shared" si="6"/>
        <v>Friday</v>
      </c>
      <c r="V48" s="3" t="s">
        <v>69</v>
      </c>
      <c r="W48" s="3" t="s">
        <v>41</v>
      </c>
      <c r="X48" s="3" t="s">
        <v>98</v>
      </c>
      <c r="Y48" t="str">
        <f t="shared" si="7"/>
        <v>No</v>
      </c>
    </row>
    <row r="49" spans="1:25" ht="28.5">
      <c r="A49" s="3" t="s">
        <v>211</v>
      </c>
      <c r="B49" s="6">
        <v>46166.681944444441</v>
      </c>
      <c r="C49" s="3" t="s">
        <v>34</v>
      </c>
      <c r="D49" s="3" t="s">
        <v>35</v>
      </c>
      <c r="E49" s="3" t="s">
        <v>36</v>
      </c>
      <c r="F49" s="3" t="s">
        <v>212</v>
      </c>
      <c r="G49" s="3" t="s">
        <v>38</v>
      </c>
      <c r="H49" s="3" t="s">
        <v>39</v>
      </c>
      <c r="I49" s="3" t="s">
        <v>213</v>
      </c>
      <c r="J49" s="3" t="s">
        <v>41</v>
      </c>
      <c r="K49" s="3" t="s">
        <v>42</v>
      </c>
      <c r="L49" s="7">
        <v>0.16</v>
      </c>
      <c r="M49" s="8">
        <v>1280</v>
      </c>
      <c r="N49" s="8">
        <v>118</v>
      </c>
      <c r="O49" s="8">
        <v>520</v>
      </c>
      <c r="P49" s="8">
        <v>47</v>
      </c>
      <c r="Q49" s="8">
        <v>210000</v>
      </c>
      <c r="R49" s="8">
        <v>10200</v>
      </c>
      <c r="S49" s="8">
        <f t="shared" si="4"/>
        <v>12165</v>
      </c>
      <c r="T49" s="9">
        <f t="shared" si="5"/>
        <v>5.7928571428571426E-2</v>
      </c>
      <c r="U49" s="3" t="str">
        <f t="shared" si="6"/>
        <v>Sunday</v>
      </c>
      <c r="V49" s="3" t="s">
        <v>43</v>
      </c>
      <c r="W49" s="3" t="s">
        <v>41</v>
      </c>
      <c r="X49" s="3" t="s">
        <v>120</v>
      </c>
      <c r="Y49" t="str">
        <f t="shared" si="7"/>
        <v>No</v>
      </c>
    </row>
    <row r="50" spans="1:25" ht="28.5">
      <c r="A50" s="3" t="s">
        <v>214</v>
      </c>
      <c r="B50" s="6">
        <v>46166.711805555555</v>
      </c>
      <c r="C50" s="3" t="s">
        <v>56</v>
      </c>
      <c r="D50" s="3" t="s">
        <v>47</v>
      </c>
      <c r="E50" s="3" t="s">
        <v>48</v>
      </c>
      <c r="F50" s="3" t="s">
        <v>215</v>
      </c>
      <c r="G50" s="3" t="s">
        <v>38</v>
      </c>
      <c r="H50" s="3" t="s">
        <v>50</v>
      </c>
      <c r="I50" s="3"/>
      <c r="J50" s="3" t="s">
        <v>51</v>
      </c>
      <c r="K50" s="3" t="s">
        <v>52</v>
      </c>
      <c r="L50" s="7">
        <v>0.66</v>
      </c>
      <c r="M50" s="8">
        <v>76</v>
      </c>
      <c r="N50" s="8">
        <v>4</v>
      </c>
      <c r="O50" s="8">
        <v>13</v>
      </c>
      <c r="P50" s="8">
        <v>0</v>
      </c>
      <c r="Q50" s="8">
        <v>5200</v>
      </c>
      <c r="R50" s="8">
        <v>0</v>
      </c>
      <c r="S50" s="8">
        <f t="shared" si="4"/>
        <v>93</v>
      </c>
      <c r="T50" s="9">
        <f t="shared" si="5"/>
        <v>1.7884615384615384E-2</v>
      </c>
      <c r="U50" s="3" t="str">
        <f t="shared" si="6"/>
        <v>Sunday</v>
      </c>
      <c r="V50" s="3" t="s">
        <v>53</v>
      </c>
      <c r="W50" s="3" t="s">
        <v>41</v>
      </c>
      <c r="X50" s="3" t="s">
        <v>127</v>
      </c>
      <c r="Y50" t="str">
        <f t="shared" si="7"/>
        <v>No</v>
      </c>
    </row>
    <row r="51" spans="1:25" ht="28.5">
      <c r="A51" s="3" t="s">
        <v>216</v>
      </c>
      <c r="B51" s="6">
        <v>46169.402777777781</v>
      </c>
      <c r="C51" s="3" t="s">
        <v>34</v>
      </c>
      <c r="D51" s="3" t="s">
        <v>35</v>
      </c>
      <c r="E51" s="3" t="s">
        <v>36</v>
      </c>
      <c r="F51" s="3" t="s">
        <v>217</v>
      </c>
      <c r="G51" s="3" t="s">
        <v>73</v>
      </c>
      <c r="H51" s="3" t="s">
        <v>39</v>
      </c>
      <c r="I51" s="3" t="s">
        <v>144</v>
      </c>
      <c r="J51" s="3" t="s">
        <v>41</v>
      </c>
      <c r="K51" s="3" t="s">
        <v>52</v>
      </c>
      <c r="L51" s="7">
        <v>0.44</v>
      </c>
      <c r="M51" s="8">
        <v>720</v>
      </c>
      <c r="N51" s="8">
        <v>156</v>
      </c>
      <c r="O51" s="8">
        <v>132</v>
      </c>
      <c r="P51" s="8">
        <v>35</v>
      </c>
      <c r="Q51" s="8">
        <v>149000</v>
      </c>
      <c r="R51" s="8">
        <v>4800</v>
      </c>
      <c r="S51" s="8">
        <f t="shared" si="4"/>
        <v>5843</v>
      </c>
      <c r="T51" s="9">
        <f t="shared" si="5"/>
        <v>3.9214765100671144E-2</v>
      </c>
      <c r="U51" s="3" t="str">
        <f t="shared" si="6"/>
        <v>Wednesday</v>
      </c>
      <c r="V51" s="3" t="s">
        <v>145</v>
      </c>
      <c r="W51" s="3" t="s">
        <v>41</v>
      </c>
      <c r="X51" s="3" t="s">
        <v>146</v>
      </c>
      <c r="Y51" t="str">
        <f t="shared" si="7"/>
        <v>No</v>
      </c>
    </row>
    <row r="52" spans="1:25" ht="28.5">
      <c r="A52" s="3" t="s">
        <v>218</v>
      </c>
      <c r="B52" s="6">
        <v>46169.420138888891</v>
      </c>
      <c r="C52" s="3" t="s">
        <v>46</v>
      </c>
      <c r="D52" s="3" t="s">
        <v>47</v>
      </c>
      <c r="E52" s="3" t="s">
        <v>48</v>
      </c>
      <c r="F52" s="3" t="s">
        <v>219</v>
      </c>
      <c r="G52" s="3" t="s">
        <v>73</v>
      </c>
      <c r="H52" s="3" t="s">
        <v>50</v>
      </c>
      <c r="I52" s="3"/>
      <c r="J52" s="3" t="s">
        <v>51</v>
      </c>
      <c r="K52" s="3" t="s">
        <v>58</v>
      </c>
      <c r="L52" s="7">
        <v>-0.49</v>
      </c>
      <c r="M52" s="8">
        <v>67</v>
      </c>
      <c r="N52" s="8">
        <v>12</v>
      </c>
      <c r="O52" s="8">
        <v>5</v>
      </c>
      <c r="P52" s="8">
        <v>2</v>
      </c>
      <c r="Q52" s="8">
        <v>3900</v>
      </c>
      <c r="R52" s="8">
        <v>0</v>
      </c>
      <c r="S52" s="8">
        <f t="shared" si="4"/>
        <v>86</v>
      </c>
      <c r="T52" s="9">
        <f t="shared" si="5"/>
        <v>2.205128205128205E-2</v>
      </c>
      <c r="U52" s="3" t="str">
        <f t="shared" si="6"/>
        <v>Wednesday</v>
      </c>
      <c r="V52" s="3" t="s">
        <v>69</v>
      </c>
      <c r="W52" s="3" t="s">
        <v>41</v>
      </c>
      <c r="X52" s="3" t="s">
        <v>98</v>
      </c>
      <c r="Y52" t="str">
        <f t="shared" si="7"/>
        <v>No</v>
      </c>
    </row>
    <row r="53" spans="1:25" ht="28.5">
      <c r="A53" s="3" t="s">
        <v>220</v>
      </c>
      <c r="B53" s="6">
        <v>46170.552083333336</v>
      </c>
      <c r="C53" s="3" t="s">
        <v>56</v>
      </c>
      <c r="D53" s="3" t="s">
        <v>47</v>
      </c>
      <c r="E53" s="3" t="s">
        <v>67</v>
      </c>
      <c r="F53" s="3" t="s">
        <v>221</v>
      </c>
      <c r="G53" s="3" t="s">
        <v>38</v>
      </c>
      <c r="H53" s="3" t="s">
        <v>50</v>
      </c>
      <c r="I53" s="3"/>
      <c r="J53" s="3" t="s">
        <v>51</v>
      </c>
      <c r="K53" s="3" t="s">
        <v>52</v>
      </c>
      <c r="L53" s="7">
        <v>0.76</v>
      </c>
      <c r="M53" s="8">
        <v>112</v>
      </c>
      <c r="N53" s="8">
        <v>6</v>
      </c>
      <c r="O53" s="8">
        <v>18</v>
      </c>
      <c r="P53" s="8">
        <v>1</v>
      </c>
      <c r="Q53" s="8">
        <v>7600</v>
      </c>
      <c r="R53" s="8">
        <v>0</v>
      </c>
      <c r="S53" s="8">
        <f t="shared" si="4"/>
        <v>137</v>
      </c>
      <c r="T53" s="9">
        <f t="shared" si="5"/>
        <v>1.8026315789473685E-2</v>
      </c>
      <c r="U53" s="3" t="str">
        <f t="shared" si="6"/>
        <v>Thursday</v>
      </c>
      <c r="V53" s="3" t="s">
        <v>53</v>
      </c>
      <c r="W53" s="3" t="s">
        <v>41</v>
      </c>
      <c r="X53" s="3" t="s">
        <v>222</v>
      </c>
      <c r="Y53" t="str">
        <f t="shared" si="7"/>
        <v>Yes</v>
      </c>
    </row>
    <row r="54" spans="1:25" ht="28.5">
      <c r="A54" s="3" t="s">
        <v>223</v>
      </c>
      <c r="B54" s="6">
        <v>46174.354166666664</v>
      </c>
      <c r="C54" s="3" t="s">
        <v>34</v>
      </c>
      <c r="D54" s="3" t="s">
        <v>35</v>
      </c>
      <c r="E54" s="3" t="s">
        <v>36</v>
      </c>
      <c r="F54" s="3" t="s">
        <v>224</v>
      </c>
      <c r="G54" s="3" t="s">
        <v>63</v>
      </c>
      <c r="H54" s="3" t="s">
        <v>39</v>
      </c>
      <c r="I54" s="3" t="s">
        <v>64</v>
      </c>
      <c r="J54" s="3" t="s">
        <v>41</v>
      </c>
      <c r="K54" s="3" t="s">
        <v>42</v>
      </c>
      <c r="L54" s="7">
        <v>0.21</v>
      </c>
      <c r="M54" s="8">
        <v>340</v>
      </c>
      <c r="N54" s="8">
        <v>31</v>
      </c>
      <c r="O54" s="8">
        <v>76</v>
      </c>
      <c r="P54" s="8">
        <v>8</v>
      </c>
      <c r="Q54" s="8">
        <v>93000</v>
      </c>
      <c r="R54" s="8">
        <v>3600</v>
      </c>
      <c r="S54" s="8">
        <f t="shared" si="4"/>
        <v>4055</v>
      </c>
      <c r="T54" s="9">
        <f t="shared" si="5"/>
        <v>4.3602150537634408E-2</v>
      </c>
      <c r="U54" s="3" t="str">
        <f t="shared" si="6"/>
        <v>Monday</v>
      </c>
      <c r="V54" s="3" t="s">
        <v>43</v>
      </c>
      <c r="W54" s="3" t="s">
        <v>41</v>
      </c>
      <c r="X54" s="3" t="s">
        <v>95</v>
      </c>
      <c r="Y54" t="str">
        <f t="shared" si="7"/>
        <v>No</v>
      </c>
    </row>
    <row r="55" spans="1:25" ht="28.5">
      <c r="A55" s="3" t="s">
        <v>225</v>
      </c>
      <c r="B55" s="6">
        <v>46175.763888888891</v>
      </c>
      <c r="C55" s="3" t="s">
        <v>56</v>
      </c>
      <c r="D55" s="3" t="s">
        <v>47</v>
      </c>
      <c r="E55" s="3" t="s">
        <v>48</v>
      </c>
      <c r="F55" s="3" t="s">
        <v>226</v>
      </c>
      <c r="G55" s="3" t="s">
        <v>73</v>
      </c>
      <c r="H55" s="3" t="s">
        <v>50</v>
      </c>
      <c r="I55" s="3"/>
      <c r="J55" s="3" t="s">
        <v>51</v>
      </c>
      <c r="K55" s="3" t="s">
        <v>140</v>
      </c>
      <c r="L55" s="7">
        <v>0.15</v>
      </c>
      <c r="M55" s="8">
        <v>84</v>
      </c>
      <c r="N55" s="8">
        <v>10</v>
      </c>
      <c r="O55" s="8">
        <v>11</v>
      </c>
      <c r="P55" s="8">
        <v>1</v>
      </c>
      <c r="Q55" s="8">
        <v>5900</v>
      </c>
      <c r="R55" s="8">
        <v>0</v>
      </c>
      <c r="S55" s="8">
        <f t="shared" si="4"/>
        <v>106</v>
      </c>
      <c r="T55" s="9">
        <f t="shared" si="5"/>
        <v>1.7966101694915255E-2</v>
      </c>
      <c r="U55" s="3" t="str">
        <f t="shared" si="6"/>
        <v>Tuesday</v>
      </c>
      <c r="V55" s="3" t="s">
        <v>69</v>
      </c>
      <c r="W55" s="3" t="s">
        <v>41</v>
      </c>
      <c r="X55" s="3" t="s">
        <v>127</v>
      </c>
      <c r="Y55" t="str">
        <f t="shared" si="7"/>
        <v>No</v>
      </c>
    </row>
    <row r="56" spans="1:25" ht="28.5">
      <c r="A56" s="3" t="s">
        <v>227</v>
      </c>
      <c r="B56" s="6">
        <v>46178.5</v>
      </c>
      <c r="C56" s="3" t="s">
        <v>34</v>
      </c>
      <c r="D56" s="3" t="s">
        <v>35</v>
      </c>
      <c r="E56" s="3" t="s">
        <v>36</v>
      </c>
      <c r="F56" s="3" t="s">
        <v>228</v>
      </c>
      <c r="G56" s="3" t="s">
        <v>117</v>
      </c>
      <c r="H56" s="3" t="s">
        <v>105</v>
      </c>
      <c r="I56" s="3" t="s">
        <v>229</v>
      </c>
      <c r="J56" s="3" t="s">
        <v>41</v>
      </c>
      <c r="K56" s="3" t="s">
        <v>52</v>
      </c>
      <c r="L56" s="7">
        <v>0.69</v>
      </c>
      <c r="M56" s="8">
        <v>860</v>
      </c>
      <c r="N56" s="8">
        <v>44</v>
      </c>
      <c r="O56" s="8">
        <v>188</v>
      </c>
      <c r="P56" s="8">
        <v>14</v>
      </c>
      <c r="Q56" s="8">
        <v>125000</v>
      </c>
      <c r="R56" s="8">
        <v>3100</v>
      </c>
      <c r="S56" s="8">
        <f t="shared" si="4"/>
        <v>4206</v>
      </c>
      <c r="T56" s="9">
        <f t="shared" si="5"/>
        <v>3.3647999999999997E-2</v>
      </c>
      <c r="U56" s="3" t="str">
        <f t="shared" si="6"/>
        <v>Friday</v>
      </c>
      <c r="V56" s="3" t="s">
        <v>119</v>
      </c>
      <c r="W56" s="3" t="s">
        <v>41</v>
      </c>
      <c r="X56" s="3" t="s">
        <v>107</v>
      </c>
      <c r="Y56" t="str">
        <f t="shared" si="7"/>
        <v>No</v>
      </c>
    </row>
    <row r="57" spans="1:25" ht="28.5">
      <c r="A57" s="3" t="s">
        <v>230</v>
      </c>
      <c r="B57" s="6">
        <v>46179.649305555555</v>
      </c>
      <c r="C57" s="3" t="s">
        <v>109</v>
      </c>
      <c r="D57" s="3" t="s">
        <v>122</v>
      </c>
      <c r="E57" s="3" t="s">
        <v>67</v>
      </c>
      <c r="F57" s="3" t="s">
        <v>231</v>
      </c>
      <c r="G57" s="3" t="s">
        <v>117</v>
      </c>
      <c r="H57" s="3" t="s">
        <v>39</v>
      </c>
      <c r="I57" s="3" t="s">
        <v>232</v>
      </c>
      <c r="J57" s="3" t="s">
        <v>51</v>
      </c>
      <c r="K57" s="3" t="s">
        <v>52</v>
      </c>
      <c r="L57" s="7">
        <v>0.88</v>
      </c>
      <c r="M57" s="8">
        <v>122</v>
      </c>
      <c r="N57" s="8">
        <v>4</v>
      </c>
      <c r="O57" s="8">
        <v>28</v>
      </c>
      <c r="P57" s="8">
        <v>2</v>
      </c>
      <c r="Q57" s="8">
        <v>6900</v>
      </c>
      <c r="R57" s="8">
        <v>0</v>
      </c>
      <c r="S57" s="8">
        <f t="shared" si="4"/>
        <v>156</v>
      </c>
      <c r="T57" s="9">
        <f t="shared" si="5"/>
        <v>2.2608695652173914E-2</v>
      </c>
      <c r="U57" s="3" t="str">
        <f t="shared" si="6"/>
        <v>Saturday</v>
      </c>
      <c r="V57" s="3" t="s">
        <v>53</v>
      </c>
      <c r="W57" s="3" t="s">
        <v>41</v>
      </c>
      <c r="X57" s="3" t="s">
        <v>114</v>
      </c>
      <c r="Y57" t="str">
        <f t="shared" si="7"/>
        <v>No</v>
      </c>
    </row>
    <row r="58" spans="1:25" ht="28.5">
      <c r="A58" s="3" t="s">
        <v>233</v>
      </c>
      <c r="B58" s="6">
        <v>46182.392361111109</v>
      </c>
      <c r="C58" s="3" t="s">
        <v>34</v>
      </c>
      <c r="D58" s="3" t="s">
        <v>35</v>
      </c>
      <c r="E58" s="3" t="s">
        <v>36</v>
      </c>
      <c r="F58" s="3" t="s">
        <v>234</v>
      </c>
      <c r="G58" s="3" t="s">
        <v>104</v>
      </c>
      <c r="H58" s="3" t="s">
        <v>39</v>
      </c>
      <c r="I58" s="3" t="s">
        <v>235</v>
      </c>
      <c r="J58" s="3" t="s">
        <v>41</v>
      </c>
      <c r="K58" s="3" t="s">
        <v>42</v>
      </c>
      <c r="L58" s="7">
        <v>0.19</v>
      </c>
      <c r="M58" s="8">
        <v>740</v>
      </c>
      <c r="N58" s="8">
        <v>63</v>
      </c>
      <c r="O58" s="8">
        <v>295</v>
      </c>
      <c r="P58" s="8">
        <v>22</v>
      </c>
      <c r="Q58" s="8">
        <v>151000</v>
      </c>
      <c r="R58" s="8">
        <v>7200</v>
      </c>
      <c r="S58" s="8">
        <f t="shared" si="4"/>
        <v>8320</v>
      </c>
      <c r="T58" s="9">
        <f t="shared" si="5"/>
        <v>5.5099337748344371E-2</v>
      </c>
      <c r="U58" s="3" t="str">
        <f t="shared" si="6"/>
        <v>Tuesday</v>
      </c>
      <c r="V58" s="3" t="s">
        <v>43</v>
      </c>
      <c r="W58" s="3" t="s">
        <v>41</v>
      </c>
      <c r="X58" s="3" t="s">
        <v>120</v>
      </c>
      <c r="Y58" t="str">
        <f t="shared" si="7"/>
        <v>No</v>
      </c>
    </row>
    <row r="59" spans="1:25" ht="28.5">
      <c r="A59" s="3" t="s">
        <v>236</v>
      </c>
      <c r="B59" s="6">
        <v>46183.841666666667</v>
      </c>
      <c r="C59" s="3" t="s">
        <v>56</v>
      </c>
      <c r="D59" s="3" t="s">
        <v>47</v>
      </c>
      <c r="E59" s="3" t="s">
        <v>48</v>
      </c>
      <c r="F59" s="3" t="s">
        <v>237</v>
      </c>
      <c r="G59" s="3" t="s">
        <v>38</v>
      </c>
      <c r="H59" s="3" t="s">
        <v>50</v>
      </c>
      <c r="I59" s="3"/>
      <c r="J59" s="3" t="s">
        <v>51</v>
      </c>
      <c r="K59" s="3" t="s">
        <v>58</v>
      </c>
      <c r="L59" s="7">
        <v>-0.64</v>
      </c>
      <c r="M59" s="8">
        <v>45</v>
      </c>
      <c r="N59" s="8">
        <v>12</v>
      </c>
      <c r="O59" s="8">
        <v>4</v>
      </c>
      <c r="P59" s="8">
        <v>1</v>
      </c>
      <c r="Q59" s="8">
        <v>4100</v>
      </c>
      <c r="R59" s="8">
        <v>0</v>
      </c>
      <c r="S59" s="8">
        <f t="shared" si="4"/>
        <v>62</v>
      </c>
      <c r="T59" s="9">
        <f t="shared" si="5"/>
        <v>1.5121951219512195E-2</v>
      </c>
      <c r="U59" s="3" t="str">
        <f t="shared" si="6"/>
        <v>Wednesday</v>
      </c>
      <c r="V59" s="3" t="s">
        <v>74</v>
      </c>
      <c r="W59" s="3" t="s">
        <v>51</v>
      </c>
      <c r="X59" s="3" t="s">
        <v>127</v>
      </c>
      <c r="Y59" t="str">
        <f t="shared" si="7"/>
        <v>No</v>
      </c>
    </row>
    <row r="60" spans="1:25" ht="28.5">
      <c r="A60" s="3" t="s">
        <v>238</v>
      </c>
      <c r="B60" s="6">
        <v>46185.465277777781</v>
      </c>
      <c r="C60" s="3" t="s">
        <v>34</v>
      </c>
      <c r="D60" s="3" t="s">
        <v>35</v>
      </c>
      <c r="E60" s="3" t="s">
        <v>36</v>
      </c>
      <c r="F60" s="3" t="s">
        <v>239</v>
      </c>
      <c r="G60" s="3" t="s">
        <v>73</v>
      </c>
      <c r="H60" s="3" t="s">
        <v>39</v>
      </c>
      <c r="I60" s="3" t="s">
        <v>240</v>
      </c>
      <c r="J60" s="3" t="s">
        <v>41</v>
      </c>
      <c r="K60" s="3" t="s">
        <v>52</v>
      </c>
      <c r="L60" s="7">
        <v>0.61</v>
      </c>
      <c r="M60" s="8">
        <v>690</v>
      </c>
      <c r="N60" s="8">
        <v>73</v>
      </c>
      <c r="O60" s="8">
        <v>148</v>
      </c>
      <c r="P60" s="8">
        <v>20</v>
      </c>
      <c r="Q60" s="8">
        <v>121000</v>
      </c>
      <c r="R60" s="8">
        <v>3900</v>
      </c>
      <c r="S60" s="8">
        <f t="shared" si="4"/>
        <v>4831</v>
      </c>
      <c r="T60" s="9">
        <f t="shared" si="5"/>
        <v>3.992561983471074E-2</v>
      </c>
      <c r="U60" s="3" t="str">
        <f t="shared" si="6"/>
        <v>Friday</v>
      </c>
      <c r="V60" s="3" t="s">
        <v>145</v>
      </c>
      <c r="W60" s="3" t="s">
        <v>41</v>
      </c>
      <c r="X60" s="3" t="s">
        <v>120</v>
      </c>
      <c r="Y60" t="str">
        <f t="shared" si="7"/>
        <v>No</v>
      </c>
    </row>
    <row r="61" spans="1:25" ht="28.5">
      <c r="A61" s="3" t="s">
        <v>241</v>
      </c>
      <c r="B61" s="6">
        <v>46185.504166666666</v>
      </c>
      <c r="C61" s="3" t="s">
        <v>46</v>
      </c>
      <c r="D61" s="3" t="s">
        <v>47</v>
      </c>
      <c r="E61" s="3" t="s">
        <v>48</v>
      </c>
      <c r="F61" s="3" t="s">
        <v>242</v>
      </c>
      <c r="G61" s="3" t="s">
        <v>73</v>
      </c>
      <c r="H61" s="3" t="s">
        <v>50</v>
      </c>
      <c r="I61" s="3"/>
      <c r="J61" s="3" t="s">
        <v>51</v>
      </c>
      <c r="K61" s="3" t="s">
        <v>140</v>
      </c>
      <c r="L61" s="7">
        <v>0.25</v>
      </c>
      <c r="M61" s="8">
        <v>38</v>
      </c>
      <c r="N61" s="8">
        <v>5</v>
      </c>
      <c r="O61" s="8">
        <v>3</v>
      </c>
      <c r="P61" s="8">
        <v>0</v>
      </c>
      <c r="Q61" s="8">
        <v>2400</v>
      </c>
      <c r="R61" s="8">
        <v>0</v>
      </c>
      <c r="S61" s="8">
        <f t="shared" si="4"/>
        <v>46</v>
      </c>
      <c r="T61" s="9">
        <f t="shared" si="5"/>
        <v>1.9166666666666665E-2</v>
      </c>
      <c r="U61" s="3" t="str">
        <f t="shared" si="6"/>
        <v>Friday</v>
      </c>
      <c r="V61" s="3" t="s">
        <v>69</v>
      </c>
      <c r="W61" s="3" t="s">
        <v>41</v>
      </c>
      <c r="X61" s="3" t="s">
        <v>98</v>
      </c>
      <c r="Y61" t="str">
        <f t="shared" si="7"/>
        <v>No</v>
      </c>
    </row>
  </sheetData>
  <conditionalFormatting sqref="L2:L61">
    <cfRule type="colorScale" priority="2">
      <colorScale>
        <cfvo type="min"/>
        <cfvo type="percentile" val="50"/>
        <cfvo type="max"/>
        <color rgb="FFFECACA"/>
        <color rgb="FFF3F4F6"/>
        <color rgb="FFBBF7D0"/>
      </colorScale>
    </cfRule>
  </conditionalFormatting>
  <conditionalFormatting sqref="T2:T61">
    <cfRule type="colorScale" priority="1">
      <colorScale>
        <cfvo type="min"/>
        <cfvo type="percentile" val="50"/>
        <cfvo type="max"/>
        <color rgb="FFFEE2E2"/>
        <color rgb="FFFEF3C7"/>
        <color rgb="FFDCFCE7"/>
      </colorScale>
    </cfRule>
  </conditionalFormatting>
  <conditionalFormatting sqref="W2:W61">
    <cfRule type="expression" dxfId="11" priority="3">
      <formula>$W2="Yes"</formula>
    </cfRule>
  </conditionalFormatting>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dimension ref="A1:D25"/>
  <sheetViews>
    <sheetView tabSelected="1" topLeftCell="A5" workbookViewId="0">
      <selection activeCell="B5" sqref="B5"/>
    </sheetView>
  </sheetViews>
  <sheetFormatPr defaultRowHeight="14.25"/>
  <cols>
    <col min="1" max="1" width="22" customWidth="1"/>
    <col min="2" max="2" width="44" customWidth="1"/>
    <col min="3" max="3" width="42" customWidth="1"/>
    <col min="4" max="4" width="40" customWidth="1"/>
  </cols>
  <sheetData>
    <row r="1" spans="1:4" ht="15">
      <c r="A1" s="5" t="s">
        <v>243</v>
      </c>
      <c r="B1" s="5" t="s">
        <v>244</v>
      </c>
      <c r="C1" s="5" t="s">
        <v>245</v>
      </c>
      <c r="D1" s="5" t="s">
        <v>246</v>
      </c>
    </row>
    <row r="2" spans="1:4" ht="28.5">
      <c r="A2" s="3" t="s">
        <v>9</v>
      </c>
      <c r="B2" s="3" t="s">
        <v>247</v>
      </c>
      <c r="C2" s="3" t="s">
        <v>248</v>
      </c>
      <c r="D2" s="3" t="s">
        <v>249</v>
      </c>
    </row>
    <row r="3" spans="1:4">
      <c r="A3" s="3" t="s">
        <v>10</v>
      </c>
      <c r="B3" s="3" t="s">
        <v>250</v>
      </c>
      <c r="C3" s="3" t="s">
        <v>251</v>
      </c>
      <c r="D3" s="3" t="s">
        <v>252</v>
      </c>
    </row>
    <row r="4" spans="1:4" ht="28.5">
      <c r="A4" s="3" t="s">
        <v>11</v>
      </c>
      <c r="B4" s="3" t="s">
        <v>253</v>
      </c>
      <c r="C4" s="3" t="s">
        <v>254</v>
      </c>
      <c r="D4" s="3" t="s">
        <v>255</v>
      </c>
    </row>
    <row r="5" spans="1:4" ht="28.5">
      <c r="A5" s="3" t="s">
        <v>12</v>
      </c>
      <c r="B5" s="3" t="s">
        <v>256</v>
      </c>
      <c r="C5" s="3" t="s">
        <v>257</v>
      </c>
      <c r="D5" s="3" t="s">
        <v>258</v>
      </c>
    </row>
    <row r="6" spans="1:4" ht="28.5">
      <c r="A6" s="3" t="s">
        <v>13</v>
      </c>
      <c r="B6" s="3" t="s">
        <v>259</v>
      </c>
      <c r="C6" s="3" t="s">
        <v>260</v>
      </c>
      <c r="D6" s="3" t="s">
        <v>261</v>
      </c>
    </row>
    <row r="7" spans="1:4">
      <c r="A7" s="3" t="s">
        <v>14</v>
      </c>
      <c r="B7" s="3" t="s">
        <v>262</v>
      </c>
      <c r="C7" s="3" t="s">
        <v>263</v>
      </c>
      <c r="D7" s="3" t="s">
        <v>264</v>
      </c>
    </row>
    <row r="8" spans="1:4" ht="28.5">
      <c r="A8" s="3" t="s">
        <v>15</v>
      </c>
      <c r="B8" s="3" t="s">
        <v>265</v>
      </c>
      <c r="C8" s="3" t="s">
        <v>266</v>
      </c>
      <c r="D8" s="3" t="s">
        <v>267</v>
      </c>
    </row>
    <row r="9" spans="1:4" ht="28.5">
      <c r="A9" s="3" t="s">
        <v>16</v>
      </c>
      <c r="B9" s="3" t="s">
        <v>268</v>
      </c>
      <c r="C9" s="3" t="s">
        <v>269</v>
      </c>
      <c r="D9" s="3" t="s">
        <v>270</v>
      </c>
    </row>
    <row r="10" spans="1:4">
      <c r="A10" s="3" t="s">
        <v>17</v>
      </c>
      <c r="B10" s="3" t="s">
        <v>271</v>
      </c>
      <c r="C10" s="3" t="s">
        <v>272</v>
      </c>
      <c r="D10" s="3" t="s">
        <v>273</v>
      </c>
    </row>
    <row r="11" spans="1:4" ht="28.5">
      <c r="A11" s="3" t="s">
        <v>18</v>
      </c>
      <c r="B11" s="3" t="s">
        <v>274</v>
      </c>
      <c r="C11" s="3" t="s">
        <v>275</v>
      </c>
      <c r="D11" s="3" t="s">
        <v>276</v>
      </c>
    </row>
    <row r="12" spans="1:4" ht="28.5">
      <c r="A12" s="3" t="s">
        <v>19</v>
      </c>
      <c r="B12" s="3" t="s">
        <v>277</v>
      </c>
      <c r="C12" s="3" t="s">
        <v>278</v>
      </c>
      <c r="D12" s="3" t="s">
        <v>279</v>
      </c>
    </row>
    <row r="13" spans="1:4" ht="28.5">
      <c r="A13" s="3" t="s">
        <v>20</v>
      </c>
      <c r="B13" s="3" t="s">
        <v>280</v>
      </c>
      <c r="C13" s="3" t="s">
        <v>281</v>
      </c>
      <c r="D13" s="3" t="s">
        <v>279</v>
      </c>
    </row>
    <row r="14" spans="1:4">
      <c r="A14" s="3" t="s">
        <v>21</v>
      </c>
      <c r="B14" s="3" t="s">
        <v>282</v>
      </c>
      <c r="C14" s="3" t="s">
        <v>283</v>
      </c>
      <c r="D14" s="3" t="s">
        <v>284</v>
      </c>
    </row>
    <row r="15" spans="1:4" ht="28.5">
      <c r="A15" s="3" t="s">
        <v>22</v>
      </c>
      <c r="B15" s="3" t="s">
        <v>285</v>
      </c>
      <c r="C15" s="3" t="s">
        <v>286</v>
      </c>
      <c r="D15" s="3" t="s">
        <v>287</v>
      </c>
    </row>
    <row r="16" spans="1:4">
      <c r="A16" s="3" t="s">
        <v>23</v>
      </c>
      <c r="B16" s="3" t="s">
        <v>288</v>
      </c>
      <c r="C16" s="3" t="s">
        <v>289</v>
      </c>
      <c r="D16" s="3" t="s">
        <v>290</v>
      </c>
    </row>
    <row r="17" spans="1:4" ht="28.5">
      <c r="A17" s="3" t="s">
        <v>24</v>
      </c>
      <c r="B17" s="3" t="s">
        <v>291</v>
      </c>
      <c r="C17" s="3" t="s">
        <v>292</v>
      </c>
      <c r="D17" s="3" t="s">
        <v>293</v>
      </c>
    </row>
    <row r="18" spans="1:4" ht="28.5">
      <c r="A18" s="3" t="s">
        <v>25</v>
      </c>
      <c r="B18" s="3" t="s">
        <v>294</v>
      </c>
      <c r="C18" s="3" t="s">
        <v>295</v>
      </c>
      <c r="D18" s="3" t="s">
        <v>296</v>
      </c>
    </row>
    <row r="19" spans="1:4" ht="28.5">
      <c r="A19" s="3" t="s">
        <v>26</v>
      </c>
      <c r="B19" s="3" t="s">
        <v>297</v>
      </c>
      <c r="C19" s="3" t="s">
        <v>298</v>
      </c>
      <c r="D19" s="3" t="s">
        <v>299</v>
      </c>
    </row>
    <row r="20" spans="1:4" ht="28.5">
      <c r="A20" s="3" t="s">
        <v>27</v>
      </c>
      <c r="B20" s="3" t="s">
        <v>300</v>
      </c>
      <c r="C20" s="3" t="s">
        <v>301</v>
      </c>
      <c r="D20" s="3" t="s">
        <v>302</v>
      </c>
    </row>
    <row r="21" spans="1:4" ht="28.5">
      <c r="A21" s="3" t="s">
        <v>28</v>
      </c>
      <c r="B21" s="3" t="s">
        <v>303</v>
      </c>
      <c r="C21" s="3" t="s">
        <v>304</v>
      </c>
      <c r="D21" s="3" t="s">
        <v>302</v>
      </c>
    </row>
    <row r="22" spans="1:4">
      <c r="A22" s="3" t="s">
        <v>29</v>
      </c>
      <c r="B22" s="3" t="s">
        <v>305</v>
      </c>
      <c r="C22" s="3" t="s">
        <v>306</v>
      </c>
      <c r="D22" s="3" t="s">
        <v>307</v>
      </c>
    </row>
    <row r="23" spans="1:4" ht="28.5">
      <c r="A23" s="3" t="s">
        <v>30</v>
      </c>
      <c r="B23" s="3" t="s">
        <v>308</v>
      </c>
      <c r="C23" s="3" t="s">
        <v>309</v>
      </c>
      <c r="D23" s="3" t="s">
        <v>310</v>
      </c>
    </row>
    <row r="24" spans="1:4" ht="28.5">
      <c r="A24" s="3" t="s">
        <v>31</v>
      </c>
      <c r="B24" s="3" t="s">
        <v>311</v>
      </c>
      <c r="C24" s="3" t="s">
        <v>312</v>
      </c>
      <c r="D24" s="3" t="s">
        <v>313</v>
      </c>
    </row>
    <row r="25" spans="1:4" ht="28.5">
      <c r="A25" s="3" t="s">
        <v>32</v>
      </c>
      <c r="B25" s="3" t="s">
        <v>314</v>
      </c>
      <c r="C25" s="3" t="s">
        <v>315</v>
      </c>
      <c r="D25" s="3" t="s">
        <v>316</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
  <dimension ref="A1:C9"/>
  <sheetViews>
    <sheetView workbookViewId="0">
      <selection activeCell="B9" sqref="B9"/>
    </sheetView>
  </sheetViews>
  <sheetFormatPr defaultRowHeight="14.25"/>
  <cols>
    <col min="1" max="1" width="22" customWidth="1"/>
    <col min="2" max="2" width="70" customWidth="1"/>
    <col min="3" max="3" width="45" customWidth="1"/>
  </cols>
  <sheetData>
    <row r="1" spans="1:3" ht="15">
      <c r="A1" s="5" t="s">
        <v>317</v>
      </c>
      <c r="B1" s="5" t="s">
        <v>318</v>
      </c>
      <c r="C1" s="5" t="s">
        <v>319</v>
      </c>
    </row>
    <row r="2" spans="1:3" ht="28.5">
      <c r="A2" s="3" t="s">
        <v>320</v>
      </c>
      <c r="B2" s="3" t="s">
        <v>321</v>
      </c>
      <c r="C2" s="3" t="s">
        <v>322</v>
      </c>
    </row>
    <row r="3" spans="1:3" ht="28.5">
      <c r="A3" s="3" t="s">
        <v>323</v>
      </c>
      <c r="B3" s="3" t="s">
        <v>324</v>
      </c>
      <c r="C3" s="3" t="s">
        <v>325</v>
      </c>
    </row>
    <row r="4" spans="1:3">
      <c r="A4" s="3" t="s">
        <v>326</v>
      </c>
      <c r="B4" s="3" t="s">
        <v>327</v>
      </c>
      <c r="C4" s="3" t="s">
        <v>328</v>
      </c>
    </row>
    <row r="5" spans="1:3" ht="28.5">
      <c r="A5" s="3" t="s">
        <v>78</v>
      </c>
      <c r="B5" s="3" t="s">
        <v>329</v>
      </c>
      <c r="C5" s="3" t="s">
        <v>330</v>
      </c>
    </row>
    <row r="6" spans="1:3" ht="28.5">
      <c r="A6" s="3" t="s">
        <v>331</v>
      </c>
      <c r="B6" s="3" t="s">
        <v>332</v>
      </c>
      <c r="C6" s="3" t="s">
        <v>333</v>
      </c>
    </row>
    <row r="7" spans="1:3">
      <c r="A7" s="3" t="s">
        <v>334</v>
      </c>
      <c r="B7" s="3" t="s">
        <v>335</v>
      </c>
      <c r="C7" s="3" t="s">
        <v>336</v>
      </c>
    </row>
    <row r="8" spans="1:3">
      <c r="A8" s="3" t="s">
        <v>337</v>
      </c>
      <c r="B8" s="3" t="s">
        <v>338</v>
      </c>
      <c r="C8" s="3" t="s">
        <v>339</v>
      </c>
    </row>
    <row r="9" spans="1:3">
      <c r="A9" s="3" t="s">
        <v>340</v>
      </c>
      <c r="B9" s="3" t="s">
        <v>341</v>
      </c>
      <c r="C9" s="3" t="s">
        <v>342</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6"/>
  <dimension ref="A1:C4"/>
  <sheetViews>
    <sheetView workbookViewId="0"/>
  </sheetViews>
  <sheetFormatPr defaultRowHeight="14.25"/>
  <cols>
    <col min="1" max="1" width="28" customWidth="1"/>
    <col min="2" max="2" width="48" customWidth="1"/>
    <col min="3" max="3" width="110" customWidth="1"/>
  </cols>
  <sheetData>
    <row r="1" spans="1:3" ht="15">
      <c r="A1" s="5" t="s">
        <v>343</v>
      </c>
      <c r="B1" s="5" t="s">
        <v>344</v>
      </c>
      <c r="C1" s="5" t="s">
        <v>345</v>
      </c>
    </row>
    <row r="2" spans="1:3" ht="28.5">
      <c r="A2" s="3" t="s">
        <v>346</v>
      </c>
      <c r="B2" s="3" t="s">
        <v>347</v>
      </c>
      <c r="C2" s="3" t="s">
        <v>348</v>
      </c>
    </row>
    <row r="3" spans="1:3" ht="28.5">
      <c r="A3" s="3" t="s">
        <v>349</v>
      </c>
      <c r="B3" s="3" t="s">
        <v>350</v>
      </c>
      <c r="C3" s="3" t="s">
        <v>351</v>
      </c>
    </row>
    <row r="4" spans="1:3" ht="28.5">
      <c r="A4" s="3" t="s">
        <v>352</v>
      </c>
      <c r="B4" s="3" t="s">
        <v>353</v>
      </c>
      <c r="C4" s="3" t="s">
        <v>354</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B32B13-2ED5-46D2-8C1F-35C7271D619C}">
  <dimension ref="A2:M108"/>
  <sheetViews>
    <sheetView workbookViewId="0">
      <selection activeCell="H3" sqref="H3:M14"/>
    </sheetView>
  </sheetViews>
  <sheetFormatPr defaultRowHeight="14.25"/>
  <cols>
    <col min="1" max="1" width="17.75" style="10" customWidth="1"/>
    <col min="2" max="2" width="10" style="10" bestFit="1" customWidth="1"/>
    <col min="3" max="3" width="16.125" style="10" bestFit="1" customWidth="1"/>
    <col min="4" max="4" width="10.25" style="10" bestFit="1" customWidth="1"/>
    <col min="5" max="5" width="11.875" style="10" bestFit="1" customWidth="1"/>
    <col min="6" max="6" width="13.125" style="10" bestFit="1" customWidth="1"/>
    <col min="7" max="7" width="11.375" style="10" bestFit="1" customWidth="1"/>
    <col min="8" max="8" width="21.75" style="10" bestFit="1" customWidth="1"/>
    <col min="9" max="9" width="8.25" style="10" bestFit="1" customWidth="1"/>
    <col min="10" max="10" width="10.75" style="10" bestFit="1" customWidth="1"/>
    <col min="11" max="11" width="5.875" style="10" bestFit="1" customWidth="1"/>
    <col min="12" max="12" width="11.5" style="10" bestFit="1" customWidth="1"/>
    <col min="13" max="14" width="11.375" style="10" bestFit="1" customWidth="1"/>
    <col min="15" max="15" width="12.625" style="10" bestFit="1" customWidth="1"/>
    <col min="16" max="16" width="31.875" style="10" bestFit="1" customWidth="1"/>
    <col min="17" max="17" width="24.875" style="10" bestFit="1" customWidth="1"/>
    <col min="18" max="18" width="26.75" style="10" bestFit="1" customWidth="1"/>
    <col min="19" max="19" width="16.375" style="10" bestFit="1" customWidth="1"/>
    <col min="20" max="20" width="18.875" style="10" bestFit="1" customWidth="1"/>
    <col min="21" max="21" width="13.625" style="10" bestFit="1" customWidth="1"/>
    <col min="22" max="22" width="15.25" style="10" bestFit="1" customWidth="1"/>
    <col min="23" max="23" width="11.625" style="10" bestFit="1" customWidth="1"/>
    <col min="24" max="24" width="15" style="10" bestFit="1" customWidth="1"/>
    <col min="25" max="25" width="13.75" style="10" bestFit="1" customWidth="1"/>
    <col min="26" max="26" width="9.5" style="10" bestFit="1" customWidth="1"/>
    <col min="27" max="27" width="6.875" style="10" bestFit="1" customWidth="1"/>
    <col min="28" max="28" width="26.875" style="10" bestFit="1" customWidth="1"/>
    <col min="29" max="30" width="11.375" style="10" bestFit="1" customWidth="1"/>
    <col min="31" max="31" width="6.875" style="10" bestFit="1" customWidth="1"/>
    <col min="32" max="32" width="23.125" style="10" bestFit="1" customWidth="1"/>
    <col min="33" max="33" width="29.75" style="10" bestFit="1" customWidth="1"/>
    <col min="34" max="34" width="16.375" style="10" bestFit="1" customWidth="1"/>
    <col min="35" max="35" width="29" style="10" bestFit="1" customWidth="1"/>
    <col min="36" max="36" width="29.25" style="10" bestFit="1" customWidth="1"/>
    <col min="37" max="37" width="34.375" style="10" bestFit="1" customWidth="1"/>
    <col min="38" max="38" width="7" style="10" bestFit="1" customWidth="1"/>
    <col min="39" max="39" width="19.125" style="10" bestFit="1" customWidth="1"/>
    <col min="40" max="40" width="21.75" style="10" bestFit="1" customWidth="1"/>
    <col min="41" max="41" width="15.25" style="10" bestFit="1" customWidth="1"/>
    <col min="42" max="42" width="6.875" style="10" bestFit="1" customWidth="1"/>
    <col min="43" max="43" width="25.125" style="10" bestFit="1" customWidth="1"/>
    <col min="44" max="44" width="19.375" style="10" bestFit="1" customWidth="1"/>
    <col min="45" max="45" width="29" style="10" bestFit="1" customWidth="1"/>
    <col min="46" max="46" width="30.625" style="10" bestFit="1" customWidth="1"/>
    <col min="47" max="47" width="16.375" style="10" bestFit="1" customWidth="1"/>
    <col min="48" max="48" width="6.875" style="10" bestFit="1" customWidth="1"/>
    <col min="49" max="49" width="22.75" style="10" bestFit="1" customWidth="1"/>
    <col min="50" max="50" width="14.375" style="10" bestFit="1" customWidth="1"/>
    <col min="51" max="51" width="6.875" style="10" bestFit="1" customWidth="1"/>
    <col min="52" max="52" width="17.875" style="10" bestFit="1" customWidth="1"/>
    <col min="53" max="53" width="11.375" style="10" bestFit="1" customWidth="1"/>
    <col min="54" max="16384" width="9" style="10"/>
  </cols>
  <sheetData>
    <row r="2" spans="1:13">
      <c r="A2" s="10" t="s">
        <v>362</v>
      </c>
    </row>
    <row r="3" spans="1:13" ht="42.75">
      <c r="A3" s="41" t="s">
        <v>363</v>
      </c>
      <c r="B3" s="16" t="s">
        <v>364</v>
      </c>
      <c r="C3" s="16" t="s">
        <v>365</v>
      </c>
      <c r="D3" s="16" t="s">
        <v>366</v>
      </c>
      <c r="E3" s="16" t="s">
        <v>367</v>
      </c>
      <c r="F3" s="14" t="s">
        <v>368</v>
      </c>
      <c r="H3" s="42"/>
    </row>
    <row r="4" spans="1:13">
      <c r="A4" s="34" t="s">
        <v>38</v>
      </c>
      <c r="B4" s="40">
        <f>COUNTIF(SocialMediaPosts[topic],A4)</f>
        <v>11</v>
      </c>
      <c r="C4" s="12">
        <f>SUMIF(SocialMediaPosts[topic],A4,SocialMediaPosts[total_engagements])</f>
        <v>36283</v>
      </c>
      <c r="D4" s="12">
        <f>SUMIF(SocialMediaPosts[topic],A4,SocialMediaPosts[views])</f>
        <v>680750</v>
      </c>
      <c r="E4" s="17">
        <f>C4/D4</f>
        <v>5.3298567756151306E-2</v>
      </c>
      <c r="F4" s="18">
        <f>AVERAGEIF(SocialMediaPosts[topic],A4,SocialMediaPosts[sentiment_score])</f>
        <v>0.21454545454545454</v>
      </c>
      <c r="H4" s="43"/>
    </row>
    <row r="5" spans="1:13">
      <c r="A5" s="34" t="s">
        <v>63</v>
      </c>
      <c r="B5" s="40">
        <f>COUNTIF(SocialMediaPosts[topic],A5)</f>
        <v>9</v>
      </c>
      <c r="C5" s="12">
        <f>SUMIF(SocialMediaPosts[topic],A5,SocialMediaPosts[total_engagements])</f>
        <v>23309</v>
      </c>
      <c r="D5" s="12">
        <f>SUMIF(SocialMediaPosts[topic],A5,SocialMediaPosts[views])</f>
        <v>513500</v>
      </c>
      <c r="E5" s="17">
        <f>C5/D5</f>
        <v>4.539240506329114E-2</v>
      </c>
      <c r="F5" s="18">
        <f>AVERAGEIF(SocialMediaPosts[topic],A5,SocialMediaPosts[sentiment_score])</f>
        <v>0.38777777777777778</v>
      </c>
      <c r="H5" s="44"/>
      <c r="I5" s="44"/>
      <c r="J5" s="44"/>
      <c r="K5" s="44"/>
      <c r="L5" s="44"/>
      <c r="M5" s="44"/>
    </row>
    <row r="6" spans="1:13">
      <c r="A6" s="34" t="s">
        <v>104</v>
      </c>
      <c r="B6" s="40">
        <f>COUNTIF(SocialMediaPosts[topic],A6)</f>
        <v>5</v>
      </c>
      <c r="C6" s="12">
        <f>SUMIF(SocialMediaPosts[topic],A6,SocialMediaPosts[total_engagements])</f>
        <v>22360</v>
      </c>
      <c r="D6" s="12">
        <f>SUMIF(SocialMediaPosts[topic],A6,SocialMediaPosts[views])</f>
        <v>439800</v>
      </c>
      <c r="E6" s="17">
        <f>C6/D6</f>
        <v>5.0841291496134609E-2</v>
      </c>
      <c r="F6" s="18">
        <f>AVERAGEIF(SocialMediaPosts[topic],A6,SocialMediaPosts[sentiment_score])</f>
        <v>0.35200000000000004</v>
      </c>
      <c r="H6" s="43"/>
    </row>
    <row r="7" spans="1:13">
      <c r="A7" s="34" t="s">
        <v>73</v>
      </c>
      <c r="B7" s="40">
        <f>COUNTIF(SocialMediaPosts[topic],A7)</f>
        <v>13</v>
      </c>
      <c r="C7" s="12">
        <f>SUMIF(SocialMediaPosts[topic],A7,SocialMediaPosts[total_engagements])</f>
        <v>21176</v>
      </c>
      <c r="D7" s="12">
        <f>SUMIF(SocialMediaPosts[topic],A7,SocialMediaPosts[views])</f>
        <v>540300</v>
      </c>
      <c r="E7" s="17">
        <f>C7/D7</f>
        <v>3.9193040903201921E-2</v>
      </c>
      <c r="F7" s="18">
        <f>AVERAGEIF(SocialMediaPosts[topic],A7,SocialMediaPosts[sentiment_score])</f>
        <v>2.1538461538461558E-2</v>
      </c>
      <c r="H7" s="43"/>
    </row>
    <row r="8" spans="1:13">
      <c r="A8" s="34" t="s">
        <v>130</v>
      </c>
      <c r="B8" s="40">
        <f>COUNTIF(SocialMediaPosts[topic],A8)</f>
        <v>4</v>
      </c>
      <c r="C8" s="12">
        <f>SUMIF(SocialMediaPosts[topic],A8,SocialMediaPosts[total_engagements])</f>
        <v>8303</v>
      </c>
      <c r="D8" s="12">
        <f>SUMIF(SocialMediaPosts[topic],A8,SocialMediaPosts[views])</f>
        <v>192450</v>
      </c>
      <c r="E8" s="17">
        <f>C8/D8</f>
        <v>4.314367368147571E-2</v>
      </c>
      <c r="F8" s="18">
        <f>AVERAGEIF(SocialMediaPosts[topic],A8,SocialMediaPosts[sentiment_score])</f>
        <v>0.375</v>
      </c>
      <c r="H8" s="43"/>
    </row>
    <row r="9" spans="1:13">
      <c r="A9" s="34" t="s">
        <v>117</v>
      </c>
      <c r="B9" s="40">
        <f>COUNTIF(SocialMediaPosts[topic],A9)</f>
        <v>4</v>
      </c>
      <c r="C9" s="12">
        <f>SUMIF(SocialMediaPosts[topic],A9,SocialMediaPosts[total_engagements])</f>
        <v>8279</v>
      </c>
      <c r="D9" s="12">
        <f>SUMIF(SocialMediaPosts[topic],A9,SocialMediaPosts[views])</f>
        <v>238100</v>
      </c>
      <c r="E9" s="17">
        <f>C9/D9</f>
        <v>3.477110457790844E-2</v>
      </c>
      <c r="F9" s="18">
        <f>AVERAGEIF(SocialMediaPosts[topic],A9,SocialMediaPosts[sentiment_score])</f>
        <v>0.7649999999999999</v>
      </c>
      <c r="H9" s="43"/>
    </row>
    <row r="10" spans="1:13">
      <c r="A10" s="34" t="s">
        <v>88</v>
      </c>
      <c r="B10" s="40">
        <f>COUNTIF(SocialMediaPosts[topic],A10)</f>
        <v>3</v>
      </c>
      <c r="C10" s="12">
        <f>SUMIF(SocialMediaPosts[topic],A10,SocialMediaPosts[total_engagements])</f>
        <v>2671</v>
      </c>
      <c r="D10" s="12">
        <f>SUMIF(SocialMediaPosts[topic],A10,SocialMediaPosts[views])</f>
        <v>59900</v>
      </c>
      <c r="E10" s="17">
        <f>C10/D10</f>
        <v>4.4590984974958267E-2</v>
      </c>
      <c r="F10" s="18">
        <f>AVERAGEIF(SocialMediaPosts[topic],A10,SocialMediaPosts[sentiment_score])</f>
        <v>0.4466666666666666</v>
      </c>
      <c r="H10" s="43"/>
    </row>
    <row r="11" spans="1:13">
      <c r="A11" s="34" t="s">
        <v>194</v>
      </c>
      <c r="B11" s="40">
        <f>COUNTIF(SocialMediaPosts[topic],A11)</f>
        <v>2</v>
      </c>
      <c r="C11" s="12">
        <f>SUMIF(SocialMediaPosts[topic],A11,SocialMediaPosts[total_engagements])</f>
        <v>1787</v>
      </c>
      <c r="D11" s="12">
        <f>SUMIF(SocialMediaPosts[topic],A11,SocialMediaPosts[views])</f>
        <v>101400</v>
      </c>
      <c r="E11" s="17">
        <f>C11/D11</f>
        <v>1.7623274161735699E-2</v>
      </c>
      <c r="F11" s="18">
        <f>AVERAGEIF(SocialMediaPosts[topic],A11,SocialMediaPosts[sentiment_score])</f>
        <v>0.17</v>
      </c>
      <c r="H11" s="43"/>
    </row>
    <row r="12" spans="1:13">
      <c r="A12" s="34" t="s">
        <v>92</v>
      </c>
      <c r="B12" s="40">
        <f>COUNTIF(SocialMediaPosts[topic],A12)</f>
        <v>5</v>
      </c>
      <c r="C12" s="12">
        <f>SUMIF(SocialMediaPosts[topic],A12,SocialMediaPosts[total_engagements])</f>
        <v>1714</v>
      </c>
      <c r="D12" s="12">
        <f>SUMIF(SocialMediaPosts[topic],A12,SocialMediaPosts[views])</f>
        <v>132140</v>
      </c>
      <c r="E12" s="17">
        <f>C12/D12</f>
        <v>1.2971091266838201E-2</v>
      </c>
      <c r="F12" s="18">
        <f>AVERAGEIF(SocialMediaPosts[topic],A12,SocialMediaPosts[sentiment_score])</f>
        <v>-0.2</v>
      </c>
      <c r="H12" s="43"/>
    </row>
    <row r="13" spans="1:13">
      <c r="A13" s="34" t="s">
        <v>126</v>
      </c>
      <c r="B13" s="40">
        <f>COUNTIF(SocialMediaPosts[topic],A13)</f>
        <v>3</v>
      </c>
      <c r="C13" s="12">
        <f>SUMIF(SocialMediaPosts[topic],A13,SocialMediaPosts[total_engagements])</f>
        <v>90</v>
      </c>
      <c r="D13" s="12">
        <f>SUMIF(SocialMediaPosts[topic],A13,SocialMediaPosts[views])</f>
        <v>5750</v>
      </c>
      <c r="E13" s="17">
        <f>C13/D13</f>
        <v>1.5652173913043479E-2</v>
      </c>
      <c r="F13" s="18">
        <f>AVERAGEIF(SocialMediaPosts[topic],A13,SocialMediaPosts[sentiment_score])</f>
        <v>-0.6333333333333333</v>
      </c>
      <c r="H13" s="43"/>
    </row>
    <row r="14" spans="1:13">
      <c r="A14" s="34" t="s">
        <v>78</v>
      </c>
      <c r="B14" s="40">
        <f>COUNTIF(SocialMediaPosts[topic],A14)</f>
        <v>1</v>
      </c>
      <c r="C14" s="12">
        <f>SUMIF(SocialMediaPosts[topic],A14,SocialMediaPosts[total_engagements])</f>
        <v>17</v>
      </c>
      <c r="D14" s="12">
        <f>SUMIF(SocialMediaPosts[topic],A14,SocialMediaPosts[views])</f>
        <v>2100</v>
      </c>
      <c r="E14" s="33">
        <f>C14/D14</f>
        <v>8.0952380952380946E-3</v>
      </c>
      <c r="F14" s="18">
        <f>AVERAGEIF(SocialMediaPosts[topic],A14,SocialMediaPosts[sentiment_score])</f>
        <v>0.05</v>
      </c>
      <c r="H14" s="43"/>
    </row>
    <row r="15" spans="1:13">
      <c r="A15" s="38" t="s">
        <v>371</v>
      </c>
      <c r="B15" s="34">
        <f>SUM(B4:B14)</f>
        <v>60</v>
      </c>
      <c r="C15" s="34">
        <f t="shared" ref="C15:D15" si="0">SUM(C4:C14)</f>
        <v>125989</v>
      </c>
      <c r="D15" s="34">
        <f t="shared" si="0"/>
        <v>2906190</v>
      </c>
      <c r="E15" s="35">
        <f t="shared" ref="E5:E15" si="1">C15/D15</f>
        <v>4.3351948771415495E-2</v>
      </c>
      <c r="F15" s="36">
        <f>AVERAGE(F4:F14)</f>
        <v>0.17719954792682066</v>
      </c>
    </row>
    <row r="17" spans="1:6">
      <c r="A17" s="10" t="s">
        <v>369</v>
      </c>
    </row>
    <row r="18" spans="1:6">
      <c r="A18" s="15" t="s">
        <v>363</v>
      </c>
      <c r="B18" s="16" t="s">
        <v>52</v>
      </c>
      <c r="C18" s="16" t="s">
        <v>42</v>
      </c>
      <c r="D18" s="16" t="s">
        <v>58</v>
      </c>
      <c r="E18" s="16" t="s">
        <v>140</v>
      </c>
      <c r="F18" s="14" t="s">
        <v>370</v>
      </c>
    </row>
    <row r="19" spans="1:6">
      <c r="A19" s="34" t="s">
        <v>38</v>
      </c>
      <c r="B19" s="12">
        <f>COUNTIFS(SocialMediaPosts[topic],Analyst!$A19,SocialMediaPosts[sentiment_label],Analyst!B$18)</f>
        <v>5</v>
      </c>
      <c r="C19" s="12">
        <f>COUNTIFS(SocialMediaPosts[topic],Analyst!$A19,SocialMediaPosts[sentiment_label],Analyst!C$18)</f>
        <v>3</v>
      </c>
      <c r="D19" s="12">
        <f>COUNTIFS(SocialMediaPosts[topic],Analyst!$A19,SocialMediaPosts[sentiment_label],Analyst!D$18)</f>
        <v>2</v>
      </c>
      <c r="E19" s="12">
        <f>COUNTIFS(SocialMediaPosts[topic],Analyst!$A19,SocialMediaPosts[sentiment_label],Analyst!E$18)</f>
        <v>1</v>
      </c>
      <c r="F19" s="19">
        <f>SUM(B19:E19)</f>
        <v>11</v>
      </c>
    </row>
    <row r="20" spans="1:6">
      <c r="A20" s="34" t="s">
        <v>63</v>
      </c>
      <c r="B20" s="12">
        <f>COUNTIFS(SocialMediaPosts[topic],Analyst!$A20,SocialMediaPosts[sentiment_label],Analyst!B$18)</f>
        <v>4</v>
      </c>
      <c r="C20" s="12">
        <f>COUNTIFS(SocialMediaPosts[topic],Analyst!$A20,SocialMediaPosts[sentiment_label],Analyst!C$18)</f>
        <v>5</v>
      </c>
      <c r="D20" s="12">
        <f>COUNTIFS(SocialMediaPosts[topic],Analyst!$A20,SocialMediaPosts[sentiment_label],Analyst!D$18)</f>
        <v>0</v>
      </c>
      <c r="E20" s="12">
        <f>COUNTIFS(SocialMediaPosts[topic],Analyst!$A20,SocialMediaPosts[sentiment_label],Analyst!E$18)</f>
        <v>0</v>
      </c>
      <c r="F20" s="19">
        <f t="shared" ref="F20:F29" si="2">SUM(B20:E20)</f>
        <v>9</v>
      </c>
    </row>
    <row r="21" spans="1:6">
      <c r="A21" s="34" t="s">
        <v>104</v>
      </c>
      <c r="B21" s="12">
        <f>COUNTIFS(SocialMediaPosts[topic],Analyst!$A21,SocialMediaPosts[sentiment_label],Analyst!B$18)</f>
        <v>3</v>
      </c>
      <c r="C21" s="12">
        <f>COUNTIFS(SocialMediaPosts[topic],Analyst!$A21,SocialMediaPosts[sentiment_label],Analyst!C$18)</f>
        <v>1</v>
      </c>
      <c r="D21" s="12">
        <f>COUNTIFS(SocialMediaPosts[topic],Analyst!$A21,SocialMediaPosts[sentiment_label],Analyst!D$18)</f>
        <v>0</v>
      </c>
      <c r="E21" s="12">
        <f>COUNTIFS(SocialMediaPosts[topic],Analyst!$A21,SocialMediaPosts[sentiment_label],Analyst!E$18)</f>
        <v>1</v>
      </c>
      <c r="F21" s="19">
        <f t="shared" si="2"/>
        <v>5</v>
      </c>
    </row>
    <row r="22" spans="1:6">
      <c r="A22" s="34" t="s">
        <v>73</v>
      </c>
      <c r="B22" s="12">
        <f>COUNTIFS(SocialMediaPosts[topic],Analyst!$A22,SocialMediaPosts[sentiment_label],Analyst!B$18)</f>
        <v>4</v>
      </c>
      <c r="C22" s="12">
        <f>COUNTIFS(SocialMediaPosts[topic],Analyst!$A22,SocialMediaPosts[sentiment_label],Analyst!C$18)</f>
        <v>1</v>
      </c>
      <c r="D22" s="12">
        <f>COUNTIFS(SocialMediaPosts[topic],Analyst!$A22,SocialMediaPosts[sentiment_label],Analyst!D$18)</f>
        <v>4</v>
      </c>
      <c r="E22" s="12">
        <f>COUNTIFS(SocialMediaPosts[topic],Analyst!$A22,SocialMediaPosts[sentiment_label],Analyst!E$18)</f>
        <v>4</v>
      </c>
      <c r="F22" s="19">
        <f t="shared" si="2"/>
        <v>13</v>
      </c>
    </row>
    <row r="23" spans="1:6">
      <c r="A23" s="34" t="s">
        <v>130</v>
      </c>
      <c r="B23" s="12">
        <f>COUNTIFS(SocialMediaPosts[topic],Analyst!$A23,SocialMediaPosts[sentiment_label],Analyst!B$18)</f>
        <v>2</v>
      </c>
      <c r="C23" s="12">
        <f>COUNTIFS(SocialMediaPosts[topic],Analyst!$A23,SocialMediaPosts[sentiment_label],Analyst!C$18)</f>
        <v>2</v>
      </c>
      <c r="D23" s="12">
        <f>COUNTIFS(SocialMediaPosts[topic],Analyst!$A23,SocialMediaPosts[sentiment_label],Analyst!D$18)</f>
        <v>0</v>
      </c>
      <c r="E23" s="12">
        <f>COUNTIFS(SocialMediaPosts[topic],Analyst!$A23,SocialMediaPosts[sentiment_label],Analyst!E$18)</f>
        <v>0</v>
      </c>
      <c r="F23" s="19">
        <f t="shared" si="2"/>
        <v>4</v>
      </c>
    </row>
    <row r="24" spans="1:6">
      <c r="A24" s="34" t="s">
        <v>117</v>
      </c>
      <c r="B24" s="12">
        <f>COUNTIFS(SocialMediaPosts[topic],Analyst!$A24,SocialMediaPosts[sentiment_label],Analyst!B$18)</f>
        <v>4</v>
      </c>
      <c r="C24" s="12">
        <f>COUNTIFS(SocialMediaPosts[topic],Analyst!$A24,SocialMediaPosts[sentiment_label],Analyst!C$18)</f>
        <v>0</v>
      </c>
      <c r="D24" s="12">
        <f>COUNTIFS(SocialMediaPosts[topic],Analyst!$A24,SocialMediaPosts[sentiment_label],Analyst!D$18)</f>
        <v>0</v>
      </c>
      <c r="E24" s="12">
        <f>COUNTIFS(SocialMediaPosts[topic],Analyst!$A24,SocialMediaPosts[sentiment_label],Analyst!E$18)</f>
        <v>0</v>
      </c>
      <c r="F24" s="19">
        <f t="shared" si="2"/>
        <v>4</v>
      </c>
    </row>
    <row r="25" spans="1:6">
      <c r="A25" s="34" t="s">
        <v>88</v>
      </c>
      <c r="B25" s="12">
        <f>COUNTIFS(SocialMediaPosts[topic],Analyst!$A25,SocialMediaPosts[sentiment_label],Analyst!B$18)</f>
        <v>2</v>
      </c>
      <c r="C25" s="12">
        <f>COUNTIFS(SocialMediaPosts[topic],Analyst!$A25,SocialMediaPosts[sentiment_label],Analyst!C$18)</f>
        <v>0</v>
      </c>
      <c r="D25" s="12">
        <f>COUNTIFS(SocialMediaPosts[topic],Analyst!$A25,SocialMediaPosts[sentiment_label],Analyst!D$18)</f>
        <v>0</v>
      </c>
      <c r="E25" s="12">
        <f>COUNTIFS(SocialMediaPosts[topic],Analyst!$A25,SocialMediaPosts[sentiment_label],Analyst!E$18)</f>
        <v>1</v>
      </c>
      <c r="F25" s="19">
        <f t="shared" si="2"/>
        <v>3</v>
      </c>
    </row>
    <row r="26" spans="1:6">
      <c r="A26" s="34" t="s">
        <v>194</v>
      </c>
      <c r="B26" s="12">
        <f>COUNTIFS(SocialMediaPosts[topic],Analyst!$A26,SocialMediaPosts[sentiment_label],Analyst!B$18)</f>
        <v>1</v>
      </c>
      <c r="C26" s="12">
        <f>COUNTIFS(SocialMediaPosts[topic],Analyst!$A26,SocialMediaPosts[sentiment_label],Analyst!C$18)</f>
        <v>0</v>
      </c>
      <c r="D26" s="12">
        <f>COUNTIFS(SocialMediaPosts[topic],Analyst!$A26,SocialMediaPosts[sentiment_label],Analyst!D$18)</f>
        <v>0</v>
      </c>
      <c r="E26" s="12">
        <f>COUNTIFS(SocialMediaPosts[topic],Analyst!$A26,SocialMediaPosts[sentiment_label],Analyst!E$18)</f>
        <v>1</v>
      </c>
      <c r="F26" s="19">
        <f t="shared" si="2"/>
        <v>2</v>
      </c>
    </row>
    <row r="27" spans="1:6">
      <c r="A27" s="34" t="s">
        <v>92</v>
      </c>
      <c r="B27" s="12">
        <f>COUNTIFS(SocialMediaPosts[topic],Analyst!$A27,SocialMediaPosts[sentiment_label],Analyst!B$18)</f>
        <v>1</v>
      </c>
      <c r="C27" s="12">
        <f>COUNTIFS(SocialMediaPosts[topic],Analyst!$A27,SocialMediaPosts[sentiment_label],Analyst!C$18)</f>
        <v>2</v>
      </c>
      <c r="D27" s="12">
        <f>COUNTIFS(SocialMediaPosts[topic],Analyst!$A27,SocialMediaPosts[sentiment_label],Analyst!D$18)</f>
        <v>2</v>
      </c>
      <c r="E27" s="12">
        <f>COUNTIFS(SocialMediaPosts[topic],Analyst!$A27,SocialMediaPosts[sentiment_label],Analyst!E$18)</f>
        <v>0</v>
      </c>
      <c r="F27" s="19">
        <f t="shared" si="2"/>
        <v>5</v>
      </c>
    </row>
    <row r="28" spans="1:6">
      <c r="A28" s="34" t="s">
        <v>126</v>
      </c>
      <c r="B28" s="12">
        <f>COUNTIFS(SocialMediaPosts[topic],Analyst!$A28,SocialMediaPosts[sentiment_label],Analyst!B$18)</f>
        <v>0</v>
      </c>
      <c r="C28" s="12">
        <f>COUNTIFS(SocialMediaPosts[topic],Analyst!$A28,SocialMediaPosts[sentiment_label],Analyst!C$18)</f>
        <v>0</v>
      </c>
      <c r="D28" s="12">
        <f>COUNTIFS(SocialMediaPosts[topic],Analyst!$A28,SocialMediaPosts[sentiment_label],Analyst!D$18)</f>
        <v>3</v>
      </c>
      <c r="E28" s="12">
        <f>COUNTIFS(SocialMediaPosts[topic],Analyst!$A28,SocialMediaPosts[sentiment_label],Analyst!E$18)</f>
        <v>0</v>
      </c>
      <c r="F28" s="19">
        <f t="shared" si="2"/>
        <v>3</v>
      </c>
    </row>
    <row r="29" spans="1:6">
      <c r="A29" s="34" t="s">
        <v>78</v>
      </c>
      <c r="B29" s="12">
        <f>COUNTIFS(SocialMediaPosts[topic],Analyst!$A29,SocialMediaPosts[sentiment_label],Analyst!B$18)</f>
        <v>0</v>
      </c>
      <c r="C29" s="12">
        <f>COUNTIFS(SocialMediaPosts[topic],Analyst!$A29,SocialMediaPosts[sentiment_label],Analyst!C$18)</f>
        <v>1</v>
      </c>
      <c r="D29" s="12">
        <f>COUNTIFS(SocialMediaPosts[topic],Analyst!$A29,SocialMediaPosts[sentiment_label],Analyst!D$18)</f>
        <v>0</v>
      </c>
      <c r="E29" s="12">
        <f>COUNTIFS(SocialMediaPosts[topic],Analyst!$A29,SocialMediaPosts[sentiment_label],Analyst!E$18)</f>
        <v>0</v>
      </c>
      <c r="F29" s="19">
        <f t="shared" si="2"/>
        <v>1</v>
      </c>
    </row>
    <row r="30" spans="1:6">
      <c r="A30" s="21" t="s">
        <v>371</v>
      </c>
      <c r="B30" s="22">
        <f>SUM(B19:B29)</f>
        <v>26</v>
      </c>
      <c r="C30" s="22">
        <f t="shared" ref="C30:F30" si="3">SUM(C19:C29)</f>
        <v>15</v>
      </c>
      <c r="D30" s="22">
        <f t="shared" si="3"/>
        <v>11</v>
      </c>
      <c r="E30" s="22">
        <f t="shared" si="3"/>
        <v>8</v>
      </c>
      <c r="F30" s="20">
        <f t="shared" si="3"/>
        <v>60</v>
      </c>
    </row>
    <row r="32" spans="1:6">
      <c r="A32" s="10" t="s">
        <v>372</v>
      </c>
    </row>
    <row r="33" spans="1:6" ht="28.5">
      <c r="A33" s="15" t="s">
        <v>363</v>
      </c>
      <c r="B33" s="16" t="s">
        <v>373</v>
      </c>
      <c r="C33" s="16" t="s">
        <v>374</v>
      </c>
      <c r="D33" s="16" t="s">
        <v>375</v>
      </c>
      <c r="E33" s="30" t="s">
        <v>376</v>
      </c>
      <c r="F33" s="23"/>
    </row>
    <row r="34" spans="1:6">
      <c r="A34" s="34" t="s">
        <v>38</v>
      </c>
      <c r="B34" s="12">
        <f>COUNTIFS(SocialMediaPosts[topic],Analyst!$A34,SocialMediaPosts[response_needed],"Yes")</f>
        <v>2</v>
      </c>
      <c r="C34" s="12">
        <f>COUNTIFS(SocialMediaPosts[topic],Analyst!$A34,SocialMediaPosts[response_needed],"No")</f>
        <v>9</v>
      </c>
      <c r="D34" s="26">
        <f>SUM(B34:C34)</f>
        <v>11</v>
      </c>
      <c r="E34" s="28">
        <f>B34/D34</f>
        <v>0.18181818181818182</v>
      </c>
      <c r="F34" s="25"/>
    </row>
    <row r="35" spans="1:6">
      <c r="A35" s="34" t="s">
        <v>63</v>
      </c>
      <c r="B35" s="12">
        <f>COUNTIFS(SocialMediaPosts[topic],Analyst!$A35,SocialMediaPosts[response_needed],"Yes")</f>
        <v>0</v>
      </c>
      <c r="C35" s="12">
        <f>COUNTIFS(SocialMediaPosts[topic],Analyst!$A35,SocialMediaPosts[response_needed],"No")</f>
        <v>9</v>
      </c>
      <c r="D35" s="26">
        <f t="shared" ref="D35:D44" si="4">SUM(B35:C35)</f>
        <v>9</v>
      </c>
      <c r="E35" s="28">
        <f t="shared" ref="E35:E44" si="5">B35/D35</f>
        <v>0</v>
      </c>
      <c r="F35" s="25"/>
    </row>
    <row r="36" spans="1:6">
      <c r="A36" s="34" t="s">
        <v>104</v>
      </c>
      <c r="B36" s="12">
        <f>COUNTIFS(SocialMediaPosts[topic],Analyst!$A36,SocialMediaPosts[response_needed],"Yes")</f>
        <v>0</v>
      </c>
      <c r="C36" s="12">
        <f>COUNTIFS(SocialMediaPosts[topic],Analyst!$A36,SocialMediaPosts[response_needed],"No")</f>
        <v>5</v>
      </c>
      <c r="D36" s="26">
        <f t="shared" si="4"/>
        <v>5</v>
      </c>
      <c r="E36" s="28">
        <f t="shared" si="5"/>
        <v>0</v>
      </c>
      <c r="F36" s="25"/>
    </row>
    <row r="37" spans="1:6">
      <c r="A37" s="34" t="s">
        <v>73</v>
      </c>
      <c r="B37" s="12">
        <f>COUNTIFS(SocialMediaPosts[topic],Analyst!$A37,SocialMediaPosts[response_needed],"Yes")</f>
        <v>3</v>
      </c>
      <c r="C37" s="12">
        <f>COUNTIFS(SocialMediaPosts[topic],Analyst!$A37,SocialMediaPosts[response_needed],"No")</f>
        <v>10</v>
      </c>
      <c r="D37" s="26">
        <f t="shared" si="4"/>
        <v>13</v>
      </c>
      <c r="E37" s="28">
        <f t="shared" si="5"/>
        <v>0.23076923076923078</v>
      </c>
      <c r="F37" s="25"/>
    </row>
    <row r="38" spans="1:6">
      <c r="A38" s="34" t="s">
        <v>130</v>
      </c>
      <c r="B38" s="12">
        <f>COUNTIFS(SocialMediaPosts[topic],Analyst!$A38,SocialMediaPosts[response_needed],"Yes")</f>
        <v>1</v>
      </c>
      <c r="C38" s="12">
        <f>COUNTIFS(SocialMediaPosts[topic],Analyst!$A38,SocialMediaPosts[response_needed],"No")</f>
        <v>3</v>
      </c>
      <c r="D38" s="26">
        <f t="shared" si="4"/>
        <v>4</v>
      </c>
      <c r="E38" s="28">
        <f t="shared" si="5"/>
        <v>0.25</v>
      </c>
      <c r="F38" s="25"/>
    </row>
    <row r="39" spans="1:6">
      <c r="A39" s="34" t="s">
        <v>117</v>
      </c>
      <c r="B39" s="12">
        <f>COUNTIFS(SocialMediaPosts[topic],Analyst!$A39,SocialMediaPosts[response_needed],"Yes")</f>
        <v>0</v>
      </c>
      <c r="C39" s="12">
        <f>COUNTIFS(SocialMediaPosts[topic],Analyst!$A39,SocialMediaPosts[response_needed],"No")</f>
        <v>4</v>
      </c>
      <c r="D39" s="26">
        <f t="shared" si="4"/>
        <v>4</v>
      </c>
      <c r="E39" s="28">
        <f t="shared" si="5"/>
        <v>0</v>
      </c>
      <c r="F39" s="25"/>
    </row>
    <row r="40" spans="1:6">
      <c r="A40" s="34" t="s">
        <v>88</v>
      </c>
      <c r="B40" s="12">
        <f>COUNTIFS(SocialMediaPosts[topic],Analyst!$A40,SocialMediaPosts[response_needed],"Yes")</f>
        <v>0</v>
      </c>
      <c r="C40" s="12">
        <f>COUNTIFS(SocialMediaPosts[topic],Analyst!$A40,SocialMediaPosts[response_needed],"No")</f>
        <v>3</v>
      </c>
      <c r="D40" s="26">
        <f t="shared" si="4"/>
        <v>3</v>
      </c>
      <c r="E40" s="28">
        <f t="shared" si="5"/>
        <v>0</v>
      </c>
      <c r="F40" s="25"/>
    </row>
    <row r="41" spans="1:6">
      <c r="A41" s="34" t="s">
        <v>194</v>
      </c>
      <c r="B41" s="12">
        <f>COUNTIFS(SocialMediaPosts[topic],Analyst!$A41,SocialMediaPosts[response_needed],"Yes")</f>
        <v>0</v>
      </c>
      <c r="C41" s="12">
        <f>COUNTIFS(SocialMediaPosts[topic],Analyst!$A41,SocialMediaPosts[response_needed],"No")</f>
        <v>2</v>
      </c>
      <c r="D41" s="26">
        <f t="shared" si="4"/>
        <v>2</v>
      </c>
      <c r="E41" s="28">
        <f t="shared" si="5"/>
        <v>0</v>
      </c>
      <c r="F41" s="25"/>
    </row>
    <row r="42" spans="1:6">
      <c r="A42" s="34" t="s">
        <v>92</v>
      </c>
      <c r="B42" s="12">
        <f>COUNTIFS(SocialMediaPosts[topic],Analyst!$A42,SocialMediaPosts[response_needed],"Yes")</f>
        <v>2</v>
      </c>
      <c r="C42" s="12">
        <f>COUNTIFS(SocialMediaPosts[topic],Analyst!$A42,SocialMediaPosts[response_needed],"No")</f>
        <v>3</v>
      </c>
      <c r="D42" s="26">
        <f t="shared" si="4"/>
        <v>5</v>
      </c>
      <c r="E42" s="28">
        <f t="shared" si="5"/>
        <v>0.4</v>
      </c>
      <c r="F42" s="25"/>
    </row>
    <row r="43" spans="1:6">
      <c r="A43" s="34" t="s">
        <v>126</v>
      </c>
      <c r="B43" s="12">
        <f>COUNTIFS(SocialMediaPosts[topic],Analyst!$A43,SocialMediaPosts[response_needed],"Yes")</f>
        <v>3</v>
      </c>
      <c r="C43" s="12">
        <f>COUNTIFS(SocialMediaPosts[topic],Analyst!$A43,SocialMediaPosts[response_needed],"No")</f>
        <v>0</v>
      </c>
      <c r="D43" s="26">
        <f t="shared" si="4"/>
        <v>3</v>
      </c>
      <c r="E43" s="28">
        <f t="shared" si="5"/>
        <v>1</v>
      </c>
      <c r="F43" s="25"/>
    </row>
    <row r="44" spans="1:6">
      <c r="A44" s="34" t="s">
        <v>78</v>
      </c>
      <c r="B44" s="12">
        <f>COUNTIFS(SocialMediaPosts[topic],Analyst!$A44,SocialMediaPosts[response_needed],"Yes")</f>
        <v>0</v>
      </c>
      <c r="C44" s="12">
        <f>COUNTIFS(SocialMediaPosts[topic],Analyst!$A44,SocialMediaPosts[response_needed],"No")</f>
        <v>1</v>
      </c>
      <c r="D44" s="26">
        <f t="shared" si="4"/>
        <v>1</v>
      </c>
      <c r="E44" s="28">
        <f t="shared" si="5"/>
        <v>0</v>
      </c>
      <c r="F44" s="25"/>
    </row>
    <row r="45" spans="1:6">
      <c r="A45" s="21" t="s">
        <v>371</v>
      </c>
      <c r="B45" s="22">
        <f>SUM(B34:B44)</f>
        <v>11</v>
      </c>
      <c r="C45" s="22">
        <f t="shared" ref="C45" si="6">SUM(C34:C44)</f>
        <v>49</v>
      </c>
      <c r="D45" s="27">
        <f t="shared" ref="D45" si="7">SUM(D34:D44)</f>
        <v>60</v>
      </c>
      <c r="E45" s="29">
        <f>B45/D45</f>
        <v>0.18333333333333332</v>
      </c>
      <c r="F45" s="24"/>
    </row>
    <row r="47" spans="1:6">
      <c r="A47" s="10" t="s">
        <v>379</v>
      </c>
    </row>
    <row r="48" spans="1:6" ht="42.75">
      <c r="A48" s="15" t="s">
        <v>377</v>
      </c>
      <c r="B48" s="16" t="s">
        <v>364</v>
      </c>
      <c r="C48" s="16" t="s">
        <v>365</v>
      </c>
      <c r="D48" s="14" t="s">
        <v>368</v>
      </c>
    </row>
    <row r="49" spans="1:6">
      <c r="A49" s="12" t="s">
        <v>356</v>
      </c>
      <c r="B49" s="12">
        <f>COUNTIF(SocialMediaPosts[day_of_week],Analyst!A49)</f>
        <v>6</v>
      </c>
      <c r="C49" s="12">
        <f>SUMIF(SocialMediaPosts[day_of_week],Analyst!A49,SocialMediaPosts[total_engagements])</f>
        <v>7905</v>
      </c>
      <c r="D49" s="31">
        <f>AVERAGEIF(SocialMediaPosts[day_of_week],Analyst!A49,SocialMediaPosts[sentiment_score])</f>
        <v>5.3333333333333344E-2</v>
      </c>
    </row>
    <row r="50" spans="1:6">
      <c r="A50" s="12" t="s">
        <v>357</v>
      </c>
      <c r="B50" s="12">
        <f>COUNTIF(SocialMediaPosts[day_of_week],Analyst!A50)</f>
        <v>11</v>
      </c>
      <c r="C50" s="12">
        <f>SUMIF(SocialMediaPosts[day_of_week],Analyst!A50,SocialMediaPosts[total_engagements])</f>
        <v>32955</v>
      </c>
      <c r="D50" s="31">
        <f>AVERAGEIF(SocialMediaPosts[day_of_week],Analyst!A50,SocialMediaPosts[sentiment_score])</f>
        <v>0.21454545454545454</v>
      </c>
    </row>
    <row r="51" spans="1:6">
      <c r="A51" s="12" t="s">
        <v>358</v>
      </c>
      <c r="B51" s="12">
        <f>COUNTIF(SocialMediaPosts[day_of_week],Analyst!A51)</f>
        <v>11</v>
      </c>
      <c r="C51" s="12">
        <f>SUMIF(SocialMediaPosts[day_of_week],Analyst!A51,SocialMediaPosts[total_engagements])</f>
        <v>25565</v>
      </c>
      <c r="D51" s="31">
        <f>AVERAGEIF(SocialMediaPosts[day_of_week],Analyst!A51,SocialMediaPosts[sentiment_score])</f>
        <v>6.8181818181818177E-2</v>
      </c>
    </row>
    <row r="52" spans="1:6">
      <c r="A52" s="12" t="s">
        <v>359</v>
      </c>
      <c r="B52" s="12">
        <f>COUNTIF(SocialMediaPosts[day_of_week],Analyst!A52)</f>
        <v>10</v>
      </c>
      <c r="C52" s="12">
        <f>SUMIF(SocialMediaPosts[day_of_week],Analyst!A52,SocialMediaPosts[total_engagements])</f>
        <v>15892</v>
      </c>
      <c r="D52" s="31">
        <f>AVERAGEIF(SocialMediaPosts[day_of_week],Analyst!A52,SocialMediaPosts[sentiment_score])</f>
        <v>0.32500000000000001</v>
      </c>
    </row>
    <row r="53" spans="1:6">
      <c r="A53" s="12" t="s">
        <v>360</v>
      </c>
      <c r="B53" s="12">
        <f>COUNTIF(SocialMediaPosts[day_of_week],Analyst!A53)</f>
        <v>8</v>
      </c>
      <c r="C53" s="12">
        <f>SUMIF(SocialMediaPosts[day_of_week],Analyst!A53,SocialMediaPosts[total_engagements])</f>
        <v>15011</v>
      </c>
      <c r="D53" s="31">
        <f>AVERAGEIF(SocialMediaPosts[day_of_week],Analyst!A53,SocialMediaPosts[sentiment_score])</f>
        <v>8.7500000000000022E-2</v>
      </c>
    </row>
    <row r="54" spans="1:6">
      <c r="A54" s="12" t="s">
        <v>361</v>
      </c>
      <c r="B54" s="12">
        <f>COUNTIF(SocialMediaPosts[day_of_week],Analyst!A54)</f>
        <v>7</v>
      </c>
      <c r="C54" s="12">
        <f>SUMIF(SocialMediaPosts[day_of_week],Analyst!A54,SocialMediaPosts[total_engagements])</f>
        <v>5999</v>
      </c>
      <c r="D54" s="31">
        <f>AVERAGEIF(SocialMediaPosts[day_of_week],Analyst!A54,SocialMediaPosts[sentiment_score])</f>
        <v>0.13857142857142857</v>
      </c>
    </row>
    <row r="55" spans="1:6">
      <c r="A55" s="13" t="s">
        <v>355</v>
      </c>
      <c r="B55" s="12">
        <f>COUNTIF(SocialMediaPosts[day_of_week],Analyst!A55)</f>
        <v>7</v>
      </c>
      <c r="C55" s="12">
        <f>SUMIF(SocialMediaPosts[day_of_week],Analyst!A55,SocialMediaPosts[total_engagements])</f>
        <v>22662</v>
      </c>
      <c r="D55" s="31">
        <f>AVERAGEIF(SocialMediaPosts[day_of_week],Analyst!A55,SocialMediaPosts[sentiment_score])</f>
        <v>0.41857142857142859</v>
      </c>
    </row>
    <row r="56" spans="1:6">
      <c r="A56" s="21" t="s">
        <v>371</v>
      </c>
      <c r="B56" s="22">
        <f>SUM(B49:B55)</f>
        <v>60</v>
      </c>
      <c r="C56" s="22">
        <f>SUM(C49:C55)</f>
        <v>125989</v>
      </c>
      <c r="D56" s="32">
        <f>AVERAGE(D49:D55)</f>
        <v>0.18652906617192336</v>
      </c>
    </row>
    <row r="58" spans="1:6">
      <c r="A58" s="10" t="s">
        <v>378</v>
      </c>
    </row>
    <row r="59" spans="1:6">
      <c r="A59" s="15" t="s">
        <v>377</v>
      </c>
      <c r="B59" s="16" t="s">
        <v>52</v>
      </c>
      <c r="C59" s="16" t="s">
        <v>42</v>
      </c>
      <c r="D59" s="16" t="s">
        <v>58</v>
      </c>
      <c r="E59" s="16" t="s">
        <v>140</v>
      </c>
      <c r="F59" s="14" t="s">
        <v>370</v>
      </c>
    </row>
    <row r="60" spans="1:6">
      <c r="A60" s="12" t="s">
        <v>356</v>
      </c>
      <c r="B60" s="12">
        <f>COUNTIFS(SocialMediaPosts[day_of_week],Analyst!$A60,SocialMediaPosts[sentiment_label],Analyst!B$59)</f>
        <v>1</v>
      </c>
      <c r="C60" s="12">
        <f>COUNTIFS(SocialMediaPosts[day_of_week],Analyst!$A60,SocialMediaPosts[sentiment_label],Analyst!C$59)</f>
        <v>3</v>
      </c>
      <c r="D60" s="12">
        <f>COUNTIFS(SocialMediaPosts[day_of_week],Analyst!$A60,SocialMediaPosts[sentiment_label],Analyst!D$59)</f>
        <v>1</v>
      </c>
      <c r="E60" s="12">
        <f>COUNTIFS(SocialMediaPosts[day_of_week],Analyst!$A60,SocialMediaPosts[sentiment_label],Analyst!E$59)</f>
        <v>1</v>
      </c>
      <c r="F60" s="19">
        <f>SUM(B60:E60)</f>
        <v>6</v>
      </c>
    </row>
    <row r="61" spans="1:6">
      <c r="A61" s="12" t="s">
        <v>357</v>
      </c>
      <c r="B61" s="12">
        <f>COUNTIFS(SocialMediaPosts[day_of_week],Analyst!$A61,SocialMediaPosts[sentiment_label],Analyst!B$59)</f>
        <v>6</v>
      </c>
      <c r="C61" s="12">
        <f>COUNTIFS(SocialMediaPosts[day_of_week],Analyst!$A61,SocialMediaPosts[sentiment_label],Analyst!C$59)</f>
        <v>1</v>
      </c>
      <c r="D61" s="12">
        <f>COUNTIFS(SocialMediaPosts[day_of_week],Analyst!$A61,SocialMediaPosts[sentiment_label],Analyst!D$59)</f>
        <v>2</v>
      </c>
      <c r="E61" s="12">
        <f>COUNTIFS(SocialMediaPosts[day_of_week],Analyst!$A61,SocialMediaPosts[sentiment_label],Analyst!E$59)</f>
        <v>2</v>
      </c>
      <c r="F61" s="19">
        <f t="shared" ref="F61:F66" si="8">SUM(B61:E61)</f>
        <v>11</v>
      </c>
    </row>
    <row r="62" spans="1:6">
      <c r="A62" s="12" t="s">
        <v>358</v>
      </c>
      <c r="B62" s="12">
        <f>COUNTIFS(SocialMediaPosts[day_of_week],Analyst!$A62,SocialMediaPosts[sentiment_label],Analyst!B$59)</f>
        <v>5</v>
      </c>
      <c r="C62" s="12">
        <f>COUNTIFS(SocialMediaPosts[day_of_week],Analyst!$A62,SocialMediaPosts[sentiment_label],Analyst!C$59)</f>
        <v>1</v>
      </c>
      <c r="D62" s="12">
        <f>COUNTIFS(SocialMediaPosts[day_of_week],Analyst!$A62,SocialMediaPosts[sentiment_label],Analyst!D$59)</f>
        <v>4</v>
      </c>
      <c r="E62" s="12">
        <f>COUNTIFS(SocialMediaPosts[day_of_week],Analyst!$A62,SocialMediaPosts[sentiment_label],Analyst!E$59)</f>
        <v>1</v>
      </c>
      <c r="F62" s="19">
        <f t="shared" si="8"/>
        <v>11</v>
      </c>
    </row>
    <row r="63" spans="1:6">
      <c r="A63" s="12" t="s">
        <v>359</v>
      </c>
      <c r="B63" s="12">
        <f>COUNTIFS(SocialMediaPosts[day_of_week],Analyst!$A63,SocialMediaPosts[sentiment_label],Analyst!B$59)</f>
        <v>6</v>
      </c>
      <c r="C63" s="12">
        <f>COUNTIFS(SocialMediaPosts[day_of_week],Analyst!$A63,SocialMediaPosts[sentiment_label],Analyst!C$59)</f>
        <v>2</v>
      </c>
      <c r="D63" s="12">
        <f>COUNTIFS(SocialMediaPosts[day_of_week],Analyst!$A63,SocialMediaPosts[sentiment_label],Analyst!D$59)</f>
        <v>1</v>
      </c>
      <c r="E63" s="12">
        <f>COUNTIFS(SocialMediaPosts[day_of_week],Analyst!$A63,SocialMediaPosts[sentiment_label],Analyst!E$59)</f>
        <v>1</v>
      </c>
      <c r="F63" s="19">
        <f t="shared" si="8"/>
        <v>10</v>
      </c>
    </row>
    <row r="64" spans="1:6">
      <c r="A64" s="12" t="s">
        <v>360</v>
      </c>
      <c r="B64" s="12">
        <f>COUNTIFS(SocialMediaPosts[day_of_week],Analyst!$A64,SocialMediaPosts[sentiment_label],Analyst!B$59)</f>
        <v>3</v>
      </c>
      <c r="C64" s="12">
        <f>COUNTIFS(SocialMediaPosts[day_of_week],Analyst!$A64,SocialMediaPosts[sentiment_label],Analyst!C$59)</f>
        <v>2</v>
      </c>
      <c r="D64" s="12">
        <f>COUNTIFS(SocialMediaPosts[day_of_week],Analyst!$A64,SocialMediaPosts[sentiment_label],Analyst!D$59)</f>
        <v>2</v>
      </c>
      <c r="E64" s="12">
        <f>COUNTIFS(SocialMediaPosts[day_of_week],Analyst!$A64,SocialMediaPosts[sentiment_label],Analyst!E$59)</f>
        <v>1</v>
      </c>
      <c r="F64" s="19">
        <f t="shared" si="8"/>
        <v>8</v>
      </c>
    </row>
    <row r="65" spans="1:6">
      <c r="A65" s="12" t="s">
        <v>361</v>
      </c>
      <c r="B65" s="12">
        <f>COUNTIFS(SocialMediaPosts[day_of_week],Analyst!$A65,SocialMediaPosts[sentiment_label],Analyst!B$59)</f>
        <v>1</v>
      </c>
      <c r="C65" s="12">
        <f>COUNTIFS(SocialMediaPosts[day_of_week],Analyst!$A65,SocialMediaPosts[sentiment_label],Analyst!C$59)</f>
        <v>4</v>
      </c>
      <c r="D65" s="12">
        <f>COUNTIFS(SocialMediaPosts[day_of_week],Analyst!$A65,SocialMediaPosts[sentiment_label],Analyst!D$59)</f>
        <v>1</v>
      </c>
      <c r="E65" s="12">
        <f>COUNTIFS(SocialMediaPosts[day_of_week],Analyst!$A65,SocialMediaPosts[sentiment_label],Analyst!E$59)</f>
        <v>1</v>
      </c>
      <c r="F65" s="19">
        <f t="shared" si="8"/>
        <v>7</v>
      </c>
    </row>
    <row r="66" spans="1:6">
      <c r="A66" s="13" t="s">
        <v>355</v>
      </c>
      <c r="B66" s="12">
        <f>COUNTIFS(SocialMediaPosts[day_of_week],Analyst!$A66,SocialMediaPosts[sentiment_label],Analyst!B$59)</f>
        <v>4</v>
      </c>
      <c r="C66" s="12">
        <f>COUNTIFS(SocialMediaPosts[day_of_week],Analyst!$A66,SocialMediaPosts[sentiment_label],Analyst!C$59)</f>
        <v>2</v>
      </c>
      <c r="D66" s="12">
        <f>COUNTIFS(SocialMediaPosts[day_of_week],Analyst!$A66,SocialMediaPosts[sentiment_label],Analyst!D$59)</f>
        <v>0</v>
      </c>
      <c r="E66" s="12">
        <f>COUNTIFS(SocialMediaPosts[day_of_week],Analyst!$A66,SocialMediaPosts[sentiment_label],Analyst!E$59)</f>
        <v>1</v>
      </c>
      <c r="F66" s="19">
        <f t="shared" si="8"/>
        <v>7</v>
      </c>
    </row>
    <row r="67" spans="1:6">
      <c r="A67" s="21" t="s">
        <v>371</v>
      </c>
      <c r="B67" s="22">
        <f>SUM(B60:B66)</f>
        <v>26</v>
      </c>
      <c r="C67" s="22">
        <f>SUM(C60:C66)</f>
        <v>15</v>
      </c>
      <c r="D67" s="22">
        <f>SUM(D60:D66)</f>
        <v>11</v>
      </c>
      <c r="E67" s="22">
        <f>SUM(E60:E66)</f>
        <v>8</v>
      </c>
      <c r="F67" s="20">
        <f>SUM(F60:F66)</f>
        <v>60</v>
      </c>
    </row>
    <row r="69" spans="1:6">
      <c r="A69" s="10" t="s">
        <v>381</v>
      </c>
    </row>
    <row r="70" spans="1:6" ht="42.75">
      <c r="A70" s="15" t="s">
        <v>380</v>
      </c>
      <c r="B70" s="16" t="s">
        <v>364</v>
      </c>
      <c r="C70" s="16" t="s">
        <v>365</v>
      </c>
      <c r="D70" s="16" t="s">
        <v>366</v>
      </c>
      <c r="E70" s="16" t="s">
        <v>367</v>
      </c>
      <c r="F70" s="23"/>
    </row>
    <row r="71" spans="1:6">
      <c r="A71" s="12" t="s">
        <v>50</v>
      </c>
      <c r="B71" s="12">
        <f>COUNTIF(SocialMediaPosts[content_format],Analyst!A71)</f>
        <v>36</v>
      </c>
      <c r="C71" s="12">
        <f>SUMIF(SocialMediaPosts[content_format],Analyst!A71,SocialMediaPosts[total_engagements])</f>
        <v>3809</v>
      </c>
      <c r="D71" s="12">
        <f>SUMIF(SocialMediaPosts[content_format],Analyst!A71,SocialMediaPosts[views])</f>
        <v>264990</v>
      </c>
      <c r="E71" s="17">
        <f>C71/D71</f>
        <v>1.4374127325559455E-2</v>
      </c>
    </row>
    <row r="72" spans="1:6">
      <c r="A72" s="12" t="s">
        <v>39</v>
      </c>
      <c r="B72" s="12">
        <f>COUNTIF(SocialMediaPosts[content_format],Analyst!A72)</f>
        <v>14</v>
      </c>
      <c r="C72" s="12">
        <f>SUMIF(SocialMediaPosts[content_format],Analyst!A72,SocialMediaPosts[total_engagements])</f>
        <v>73358</v>
      </c>
      <c r="D72" s="12">
        <f>SUMIF(SocialMediaPosts[content_format],Analyst!A72,SocialMediaPosts[views])</f>
        <v>1590300</v>
      </c>
      <c r="E72" s="17">
        <f t="shared" ref="E72:E74" si="9">C72/D72</f>
        <v>4.6128403445890712E-2</v>
      </c>
    </row>
    <row r="73" spans="1:6">
      <c r="A73" s="12" t="s">
        <v>105</v>
      </c>
      <c r="B73" s="12">
        <f>COUNTIF(SocialMediaPosts[content_format],Analyst!A73)</f>
        <v>4</v>
      </c>
      <c r="C73" s="12">
        <f>SUMIF(SocialMediaPosts[content_format],Analyst!A73,SocialMediaPosts[total_engagements])</f>
        <v>27084</v>
      </c>
      <c r="D73" s="12">
        <f>SUMIF(SocialMediaPosts[content_format],Analyst!A73,SocialMediaPosts[views])</f>
        <v>524000</v>
      </c>
      <c r="E73" s="17">
        <f t="shared" si="9"/>
        <v>5.1687022900763359E-2</v>
      </c>
    </row>
    <row r="74" spans="1:6">
      <c r="A74" s="12" t="s">
        <v>82</v>
      </c>
      <c r="B74" s="12">
        <f>COUNTIF(SocialMediaPosts[content_format],Analyst!A74)</f>
        <v>6</v>
      </c>
      <c r="C74" s="12">
        <f>SUMIF(SocialMediaPosts[content_format],Analyst!A74,SocialMediaPosts[total_engagements])</f>
        <v>21738</v>
      </c>
      <c r="D74" s="12">
        <f>SUMIF(SocialMediaPosts[content_format],Analyst!A74,SocialMediaPosts[views])</f>
        <v>526900</v>
      </c>
      <c r="E74" s="17">
        <f t="shared" si="9"/>
        <v>4.1256405390017084E-2</v>
      </c>
    </row>
    <row r="75" spans="1:6">
      <c r="A75" s="38" t="s">
        <v>371</v>
      </c>
      <c r="B75" s="38">
        <f>SUM(B71:B74)</f>
        <v>60</v>
      </c>
      <c r="C75" s="38">
        <f t="shared" ref="C75:D75" si="10">SUM(C71:C74)</f>
        <v>125989</v>
      </c>
      <c r="D75" s="38">
        <f t="shared" si="10"/>
        <v>2906190</v>
      </c>
      <c r="E75" s="39">
        <f>C75/D75</f>
        <v>4.3351948771415495E-2</v>
      </c>
      <c r="F75" s="37"/>
    </row>
    <row r="77" spans="1:6">
      <c r="A77" s="10" t="s">
        <v>382</v>
      </c>
    </row>
    <row r="78" spans="1:6" ht="28.5">
      <c r="A78" s="15" t="s">
        <v>363</v>
      </c>
      <c r="B78" s="16" t="s">
        <v>373</v>
      </c>
      <c r="C78" s="16" t="s">
        <v>375</v>
      </c>
      <c r="D78" s="30" t="s">
        <v>376</v>
      </c>
    </row>
    <row r="79" spans="1:6">
      <c r="A79" s="34" t="s">
        <v>38</v>
      </c>
      <c r="B79" s="12">
        <f>COUNTIFS(SocialMediaPosts[topic],Analyst!$A79,SocialMediaPosts[high_views_low_engage],"Yes")</f>
        <v>2</v>
      </c>
      <c r="C79" s="26">
        <f>COUNTIF(SocialMediaPosts[topic],Analyst!A79)</f>
        <v>11</v>
      </c>
      <c r="D79" s="28">
        <f>IF(C79=0,0,B79/C79)</f>
        <v>0.18181818181818182</v>
      </c>
    </row>
    <row r="80" spans="1:6">
      <c r="A80" s="34" t="s">
        <v>63</v>
      </c>
      <c r="B80" s="12">
        <f>COUNTIFS(SocialMediaPosts[topic],Analyst!$A80,SocialMediaPosts[high_views_low_engage],"Yes")</f>
        <v>1</v>
      </c>
      <c r="C80" s="26">
        <f>COUNTIF(SocialMediaPosts[topic],Analyst!A80)</f>
        <v>9</v>
      </c>
      <c r="D80" s="28">
        <f t="shared" ref="D80:D89" si="11">IF(C80=0,0,B80/C80)</f>
        <v>0.1111111111111111</v>
      </c>
    </row>
    <row r="81" spans="1:4">
      <c r="A81" s="34" t="s">
        <v>104</v>
      </c>
      <c r="B81" s="12">
        <f>COUNTIFS(SocialMediaPosts[topic],Analyst!$A81,SocialMediaPosts[high_views_low_engage],"Yes")</f>
        <v>0</v>
      </c>
      <c r="C81" s="26">
        <f>COUNTIF(SocialMediaPosts[topic],Analyst!A81)</f>
        <v>5</v>
      </c>
      <c r="D81" s="28">
        <f t="shared" si="11"/>
        <v>0</v>
      </c>
    </row>
    <row r="82" spans="1:4">
      <c r="A82" s="34" t="s">
        <v>73</v>
      </c>
      <c r="B82" s="12">
        <f>COUNTIFS(SocialMediaPosts[topic],Analyst!$A82,SocialMediaPosts[high_views_low_engage],"Yes")</f>
        <v>1</v>
      </c>
      <c r="C82" s="26">
        <f>COUNTIF(SocialMediaPosts[topic],Analyst!A82)</f>
        <v>13</v>
      </c>
      <c r="D82" s="28">
        <f t="shared" si="11"/>
        <v>7.6923076923076927E-2</v>
      </c>
    </row>
    <row r="83" spans="1:4">
      <c r="A83" s="34" t="s">
        <v>130</v>
      </c>
      <c r="B83" s="12">
        <f>COUNTIFS(SocialMediaPosts[topic],Analyst!$A83,SocialMediaPosts[high_views_low_engage],"Yes")</f>
        <v>0</v>
      </c>
      <c r="C83" s="26">
        <f>COUNTIF(SocialMediaPosts[topic],Analyst!A83)</f>
        <v>4</v>
      </c>
      <c r="D83" s="28">
        <f t="shared" si="11"/>
        <v>0</v>
      </c>
    </row>
    <row r="84" spans="1:4">
      <c r="A84" s="34" t="s">
        <v>117</v>
      </c>
      <c r="B84" s="12">
        <f>COUNTIFS(SocialMediaPosts[topic],Analyst!$A84,SocialMediaPosts[high_views_low_engage],"Yes")</f>
        <v>0</v>
      </c>
      <c r="C84" s="26">
        <f>COUNTIF(SocialMediaPosts[topic],Analyst!A84)</f>
        <v>4</v>
      </c>
      <c r="D84" s="28">
        <f t="shared" si="11"/>
        <v>0</v>
      </c>
    </row>
    <row r="85" spans="1:4">
      <c r="A85" s="34" t="s">
        <v>88</v>
      </c>
      <c r="B85" s="12">
        <f>COUNTIFS(SocialMediaPosts[topic],Analyst!$A85,SocialMediaPosts[high_views_low_engage],"Yes")</f>
        <v>0</v>
      </c>
      <c r="C85" s="26">
        <f>COUNTIF(SocialMediaPosts[topic],Analyst!A85)</f>
        <v>3</v>
      </c>
      <c r="D85" s="28">
        <f t="shared" si="11"/>
        <v>0</v>
      </c>
    </row>
    <row r="86" spans="1:4">
      <c r="A86" s="34" t="s">
        <v>194</v>
      </c>
      <c r="B86" s="12">
        <f>COUNTIFS(SocialMediaPosts[topic],Analyst!$A86,SocialMediaPosts[high_views_low_engage],"Yes")</f>
        <v>1</v>
      </c>
      <c r="C86" s="26">
        <f>COUNTIF(SocialMediaPosts[topic],Analyst!A86)</f>
        <v>2</v>
      </c>
      <c r="D86" s="28">
        <f t="shared" si="11"/>
        <v>0.5</v>
      </c>
    </row>
    <row r="87" spans="1:4">
      <c r="A87" s="34" t="s">
        <v>92</v>
      </c>
      <c r="B87" s="12">
        <f>COUNTIFS(SocialMediaPosts[topic],Analyst!$A87,SocialMediaPosts[high_views_low_engage],"Yes")</f>
        <v>3</v>
      </c>
      <c r="C87" s="26">
        <f>COUNTIF(SocialMediaPosts[topic],Analyst!A87)</f>
        <v>5</v>
      </c>
      <c r="D87" s="28">
        <f t="shared" si="11"/>
        <v>0.6</v>
      </c>
    </row>
    <row r="88" spans="1:4">
      <c r="A88" s="34" t="s">
        <v>126</v>
      </c>
      <c r="B88" s="12">
        <f>COUNTIFS(SocialMediaPosts[topic],Analyst!$A88,SocialMediaPosts[high_views_low_engage],"Yes")</f>
        <v>0</v>
      </c>
      <c r="C88" s="26">
        <f>COUNTIF(SocialMediaPosts[topic],Analyst!A88)</f>
        <v>3</v>
      </c>
      <c r="D88" s="28">
        <f t="shared" si="11"/>
        <v>0</v>
      </c>
    </row>
    <row r="89" spans="1:4">
      <c r="A89" s="34" t="s">
        <v>78</v>
      </c>
      <c r="B89" s="12">
        <f>COUNTIFS(SocialMediaPosts[topic],Analyst!$A89,SocialMediaPosts[high_views_low_engage],"Yes")</f>
        <v>0</v>
      </c>
      <c r="C89" s="26">
        <f>COUNTIF(SocialMediaPosts[topic],Analyst!A89)</f>
        <v>1</v>
      </c>
      <c r="D89" s="28">
        <f t="shared" si="11"/>
        <v>0</v>
      </c>
    </row>
    <row r="90" spans="1:4">
      <c r="A90" s="21" t="s">
        <v>371</v>
      </c>
      <c r="B90" s="22">
        <f>SUM(B79:B89)</f>
        <v>8</v>
      </c>
      <c r="C90" s="27">
        <f t="shared" ref="C90" si="12">SUM(C79:C89)</f>
        <v>60</v>
      </c>
      <c r="D90" s="29">
        <f>B90/C90</f>
        <v>0.13333333333333333</v>
      </c>
    </row>
    <row r="91" spans="1:4">
      <c r="A91" s="11"/>
    </row>
    <row r="108" spans="1:1">
      <c r="A108" s="11"/>
    </row>
  </sheetData>
  <sortState xmlns:xlrd2="http://schemas.microsoft.com/office/spreadsheetml/2017/richdata2" ref="A4:F14">
    <sortCondition descending="1" ref="C4:C14"/>
  </sortState>
  <mergeCells count="1">
    <mergeCell ref="H5:M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F9469C-3BA5-4635-BB9E-AD0526330CEF}">
  <dimension ref="A1"/>
  <sheetViews>
    <sheetView topLeftCell="B1" workbookViewId="0">
      <selection activeCell="M2" sqref="M2"/>
    </sheetView>
  </sheetViews>
  <sheetFormatPr defaultRowHeight="14.25"/>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Props1.xml><?xml version="1.0" encoding="utf-8"?>
<ds:datastoreItem xmlns:ds="http://schemas.openxmlformats.org/officeDocument/2006/customXml" ds:itemID="{A6CAE6F7-9DF8-4F04-A1E7-F69103200552}">
  <ds:schemaRefs/>
</ds:datastoreItem>
</file>

<file path=customXml/itemProps2.xml><?xml version="1.0" encoding="utf-8"?>
<ds:datastoreItem xmlns:ds="http://schemas.openxmlformats.org/officeDocument/2006/customXml" ds:itemID="{ACB4E2C7-8866-44B2-8F2B-80CB7E3780C0}">
  <ds:schemaRefs/>
</ds:datastoreItem>
</file>

<file path=customXml/itemProps3.xml><?xml version="1.0" encoding="utf-8"?>
<ds:datastoreItem xmlns:ds="http://schemas.openxmlformats.org/officeDocument/2006/customXml" ds:itemID="{21CA9D87-D90F-490D-B9B2-8B179093BBAC}">
  <ds:schemaRefs/>
</ds:datastoreItem>
</file>

<file path=customXml/itemProps4.xml><?xml version="1.0" encoding="utf-8"?>
<ds:datastoreItem xmlns:ds="http://schemas.openxmlformats.org/officeDocument/2006/customXml" ds:itemID="{C6360344-A6E0-485D-9A42-8A9B08EEDED6}">
  <ds:schemaRefs/>
</ds:datastoreItem>
</file>

<file path=customXml/itemProps5.xml><?xml version="1.0" encoding="utf-8"?>
<ds:datastoreItem xmlns:ds="http://schemas.openxmlformats.org/officeDocument/2006/customXml" ds:itemID="{AF0A2342-C86B-4D5C-B1A0-369BD2136BCC}">
  <ds:schemaRefs/>
</ds:datastoreItem>
</file>

<file path=customXml/itemProps6.xml><?xml version="1.0" encoding="utf-8"?>
<ds:datastoreItem xmlns:ds="http://schemas.openxmlformats.org/officeDocument/2006/customXml" ds:itemID="{94B99C4C-9ABB-487D-806A-C151CA6F8191}">
  <ds:schemaRefs/>
</ds:datastoreItem>
</file>

<file path=customXml/itemProps7.xml><?xml version="1.0" encoding="utf-8"?>
<ds:datastoreItem xmlns:ds="http://schemas.openxmlformats.org/officeDocument/2006/customXml" ds:itemID="{BC2882C5-D349-47E9-9F5E-E20B749AF7F2}">
  <ds:schemaRefs/>
</ds:datastoreItem>
</file>

<file path=customXml/itemProps8.xml><?xml version="1.0" encoding="utf-8"?>
<ds:datastoreItem xmlns:ds="http://schemas.openxmlformats.org/officeDocument/2006/customXml" ds:itemID="{B8F71808-DFF0-49C2-9BDD-7D6C4DA08E36}">
  <ds:schemaRefs/>
</ds:datastoreItem>
</file>

<file path=customXml/itemProps9.xml><?xml version="1.0" encoding="utf-8"?>
<ds:datastoreItem xmlns:ds="http://schemas.openxmlformats.org/officeDocument/2006/customXml" ds:itemID="{67112D20-B7DD-4E4C-BC47-06C875F8EC17}">
  <ds:schemaRefs/>
</ds:datastoreItem>
</file>

<file path=customXml/itemProps10.xml><?xml version="1.0" encoding="utf-8"?>
<ds:datastoreItem xmlns:ds="http://schemas.openxmlformats.org/officeDocument/2006/customXml" ds:itemID="{C2E5B814-C613-4485-915A-316B7E13F5B6}">
  <ds:schemaRefs/>
</ds:datastoreItem>
</file>

<file path=customXml/itemProps11.xml><?xml version="1.0" encoding="utf-8"?>
<ds:datastoreItem xmlns:ds="http://schemas.openxmlformats.org/officeDocument/2006/customXml" ds:itemID="{AFA1ACEC-5AC5-4A93-A355-0DD8443D7928}">
  <ds:schemaRefs/>
</ds:datastoreItem>
</file>

<file path=customXml/itemProps12.xml><?xml version="1.0" encoding="utf-8"?>
<ds:datastoreItem xmlns:ds="http://schemas.openxmlformats.org/officeDocument/2006/customXml" ds:itemID="{04177CE3-2805-4320-83CF-CE35B7AE2364}">
  <ds:schemaRefs/>
</ds:datastoreItem>
</file>

<file path=customXml/itemProps13.xml><?xml version="1.0" encoding="utf-8"?>
<ds:datastoreItem xmlns:ds="http://schemas.openxmlformats.org/officeDocument/2006/customXml" ds:itemID="{D6E72AA5-C83B-4600-AA0A-B9711C2DF418}">
  <ds:schemaRefs/>
</ds:datastoreItem>
</file>

<file path=customXml/itemProps14.xml><?xml version="1.0" encoding="utf-8"?>
<ds:datastoreItem xmlns:ds="http://schemas.openxmlformats.org/officeDocument/2006/customXml" ds:itemID="{15BF71D9-CE9D-4F34-A2DA-064DA65A24E1}">
  <ds:schemaRefs/>
</ds:datastoreItem>
</file>

<file path=customXml/itemProps15.xml><?xml version="1.0" encoding="utf-8"?>
<ds:datastoreItem xmlns:ds="http://schemas.openxmlformats.org/officeDocument/2006/customXml" ds:itemID="{7CD671DF-274A-4436-A8EA-3B3DD79F3F7B}">
  <ds:schemaRefs/>
</ds:datastoreItem>
</file>

<file path=customXml/itemProps16.xml><?xml version="1.0" encoding="utf-8"?>
<ds:datastoreItem xmlns:ds="http://schemas.openxmlformats.org/officeDocument/2006/customXml" ds:itemID="{2B4E2916-9678-4B8A-8484-37BAB168CCC2}">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README</vt:lpstr>
      <vt:lpstr>Social_Media_Posts</vt:lpstr>
      <vt:lpstr>Data_Dictionary</vt:lpstr>
      <vt:lpstr>Analysis_Prompts</vt:lpstr>
      <vt:lpstr>Resources</vt:lpstr>
      <vt:lpstr>Analyst</vt:lpstr>
      <vt:lpstr>Chart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Siti Rukoyah Al Munazalah</cp:lastModifiedBy>
  <dcterms:modified xsi:type="dcterms:W3CDTF">2026-09-08T11:20:03Z</dcterms:modified>
</cp:coreProperties>
</file>